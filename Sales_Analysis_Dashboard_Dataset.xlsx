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eman\Downloads\DATA ANALYST PROJECTS\"/>
    </mc:Choice>
  </mc:AlternateContent>
  <xr:revisionPtr revIDLastSave="0" documentId="8_{3EE55E96-74EB-4070-B52A-08066A23523B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Sheet1" sheetId="3" r:id="rId1"/>
    <sheet name="Sheet2" sheetId="4" r:id="rId2"/>
    <sheet name="Sheet3" sheetId="5" r:id="rId3"/>
    <sheet name="Sheet4" sheetId="6" r:id="rId4"/>
    <sheet name="Sheet5" sheetId="7" r:id="rId5"/>
    <sheet name="Sheet6" sheetId="8" r:id="rId6"/>
    <sheet name="Sales_Data" sheetId="1" r:id="rId7"/>
    <sheet name="Sheet7" sheetId="9" r:id="rId8"/>
    <sheet name="Sheet8" sheetId="10" r:id="rId9"/>
  </sheets>
  <definedNames>
    <definedName name="_xlnm._FilterDatabase" localSheetId="6" hidden="1">Sales_Data!$A$1:$M$151</definedName>
    <definedName name="Dashboard">Sheet6!$A$4</definedName>
  </definedNames>
  <calcPr calcId="191029"/>
  <pivotCaches>
    <pivotCache cacheId="1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8" l="1"/>
  <c r="S5" i="8"/>
  <c r="J5" i="8"/>
  <c r="A5" i="8"/>
</calcChain>
</file>

<file path=xl/sharedStrings.xml><?xml version="1.0" encoding="utf-8"?>
<sst xmlns="http://schemas.openxmlformats.org/spreadsheetml/2006/main" count="1116" uniqueCount="219">
  <si>
    <t>Order ID</t>
  </si>
  <si>
    <t>Order Date</t>
  </si>
  <si>
    <t>Region</t>
  </si>
  <si>
    <t>City</t>
  </si>
  <si>
    <t>Product</t>
  </si>
  <si>
    <t>Category</t>
  </si>
  <si>
    <t>Quantity</t>
  </si>
  <si>
    <t>Unit Price</t>
  </si>
  <si>
    <t>Discount</t>
  </si>
  <si>
    <t>Sales</t>
  </si>
  <si>
    <t>Cost</t>
  </si>
  <si>
    <t>Profit</t>
  </si>
  <si>
    <t>Sales Channel</t>
  </si>
  <si>
    <t>ORD-0001</t>
  </si>
  <si>
    <t>East</t>
  </si>
  <si>
    <t>Kolkata</t>
  </si>
  <si>
    <t>Headphones</t>
  </si>
  <si>
    <t>Electronics</t>
  </si>
  <si>
    <t>Distributor</t>
  </si>
  <si>
    <t>ORD-0002</t>
  </si>
  <si>
    <t>North</t>
  </si>
  <si>
    <t>Delhi</t>
  </si>
  <si>
    <t>Online</t>
  </si>
  <si>
    <t>ORD-0003</t>
  </si>
  <si>
    <t>South</t>
  </si>
  <si>
    <t>Bengaluru</t>
  </si>
  <si>
    <t>Office Chair</t>
  </si>
  <si>
    <t>Furniture</t>
  </si>
  <si>
    <t>ORD-0004</t>
  </si>
  <si>
    <t>Pen Pack</t>
  </si>
  <si>
    <t>Stationery</t>
  </si>
  <si>
    <t>ORD-0005</t>
  </si>
  <si>
    <t>Patna</t>
  </si>
  <si>
    <t>ORD-0006</t>
  </si>
  <si>
    <t>ORD-0007</t>
  </si>
  <si>
    <t>Retail</t>
  </si>
  <si>
    <t>ORD-0008</t>
  </si>
  <si>
    <t>Backpack</t>
  </si>
  <si>
    <t>Accessories</t>
  </si>
  <si>
    <t>ORD-0009</t>
  </si>
  <si>
    <t>Chennai</t>
  </si>
  <si>
    <t>ORD-0010</t>
  </si>
  <si>
    <t>Water Bottle</t>
  </si>
  <si>
    <t>ORD-0011</t>
  </si>
  <si>
    <t>ORD-0012</t>
  </si>
  <si>
    <t>Hyderabad</t>
  </si>
  <si>
    <t>Desk</t>
  </si>
  <si>
    <t>ORD-0013</t>
  </si>
  <si>
    <t>ORD-0014</t>
  </si>
  <si>
    <t>Jaipur</t>
  </si>
  <si>
    <t>Smartphone</t>
  </si>
  <si>
    <t>ORD-0015</t>
  </si>
  <si>
    <t>Laptop</t>
  </si>
  <si>
    <t>ORD-0016</t>
  </si>
  <si>
    <t>Chandigarh</t>
  </si>
  <si>
    <t>ORD-0017</t>
  </si>
  <si>
    <t>Notebook</t>
  </si>
  <si>
    <t>ORD-0018</t>
  </si>
  <si>
    <t>ORD-0019</t>
  </si>
  <si>
    <t>West</t>
  </si>
  <si>
    <t>Ahmedabad</t>
  </si>
  <si>
    <t>ORD-0020</t>
  </si>
  <si>
    <t>Bhubaneswar</t>
  </si>
  <si>
    <t>ORD-0021</t>
  </si>
  <si>
    <t>ORD-0022</t>
  </si>
  <si>
    <t>ORD-0023</t>
  </si>
  <si>
    <t>Mumbai</t>
  </si>
  <si>
    <t>ORD-0024</t>
  </si>
  <si>
    <t>Pune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</si>
  <si>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</si>
  <si>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</si>
  <si>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</si>
  <si>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</si>
  <si>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</si>
  <si>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</si>
  <si>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</si>
  <si>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</si>
  <si>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</si>
  <si>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</si>
  <si>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</si>
  <si>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</si>
  <si>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</si>
  <si>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</si>
  <si>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</si>
  <si>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</si>
  <si>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</si>
  <si>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</si>
  <si>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Monitor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</si>
  <si>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</si>
  <si>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</si>
  <si>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</si>
  <si>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</si>
  <si>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</si>
  <si>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</si>
  <si>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</si>
  <si>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</si>
  <si>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</si>
  <si>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</si>
  <si>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</si>
  <si>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</si>
  <si>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</si>
  <si>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</si>
  <si>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</si>
  <si>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</si>
  <si>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</si>
  <si>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</si>
  <si>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</si>
  <si>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</si>
  <si>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</si>
  <si>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</si>
  <si>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</si>
  <si>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</si>
  <si>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</si>
  <si>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</si>
  <si>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</si>
  <si>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</si>
  <si>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</si>
  <si>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</si>
  <si>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</si>
  <si>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</si>
  <si>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</si>
  <si>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</si>
  <si>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</si>
  <si>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</si>
  <si>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</si>
  <si>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</si>
  <si>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</si>
  <si>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</si>
  <si>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</si>
  <si>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</si>
  <si>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</si>
  <si>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</si>
  <si>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</si>
  <si>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</si>
  <si>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</si>
  <si>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</si>
  <si>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</si>
  <si>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</si>
  <si>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</si>
  <si>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</si>
  <si>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</si>
  <si>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</si>
  <si>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</si>
  <si>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</si>
  <si>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</si>
  <si>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</si>
  <si>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</si>
  <si>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</si>
  <si>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</si>
  <si>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</si>
  <si>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</si>
  <si>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</si>
  <si>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</si>
  <si>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</si>
  <si>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</si>
  <si>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</si>
  <si>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</si>
  <si>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</si>
  <si>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</si>
  <si>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</si>
  <si>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</si>
  <si>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</si>
  <si>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</si>
  <si>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</si>
  <si>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</si>
  <si>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</si>
  <si>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</si>
  <si>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</si>
  <si>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</si>
  <si>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</si>
  <si>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</si>
  <si>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</si>
  <si>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</si>
  <si>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</si>
  <si>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</si>
  <si>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</si>
  <si>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</si>
  <si>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</si>
  <si>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</si>
  <si>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</si>
  <si>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</si>
  <si>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</si>
  <si>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</si>
  <si>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</si>
  <si>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</si>
  <si>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</si>
  <si>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</si>
  <si>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</si>
  <si>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</si>
  <si>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</si>
  <si>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</si>
  <si>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</si>
  <si>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</si>
  <si>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</si>
  <si>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</si>
  <si>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</si>
  <si>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Sum of Sales</t>
  </si>
  <si>
    <t>Sum of Profit</t>
  </si>
  <si>
    <t>Sum of Quantity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</si>
  <si>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</si>
  <si>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</si>
  <si>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</si>
  <si>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</si>
  <si>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</si>
  <si>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</si>
  <si>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</si>
  <si>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</si>
  <si>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</si>
  <si>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</si>
  <si>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</si>
  <si>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</si>
  <si>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</si>
  <si>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</si>
  <si>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</si>
  <si>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SALES ANALYSIS DASHBOARD</t>
  </si>
  <si>
    <t xml:space="preserve"> TOTAL SALES </t>
  </si>
  <si>
    <t xml:space="preserve">TOTAL PROFIT </t>
  </si>
  <si>
    <t xml:space="preserve">TOTAL ORDERS 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</si>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</sst>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\₹#,##0.00"/>
    <numFmt numFmtId="168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/>
    <xf numFmtId="0" fontId="3" fillId="0" borderId="0" xfId="0" applyFont="1"/>
    <xf numFmtId="168" fontId="3" fillId="0" borderId="0" xfId="0" applyNumberFormat="1" applyFont="1"/>
    <xf numFmtId="168" fontId="0" fillId="0" borderId="0" xfId="0" applyNumberFormat="1"/>
    <xf numFmtId="0" fontId="3" fillId="0" borderId="0" xfId="0" applyNumberFormat="1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  <dxf>
      <numFmt numFmtId="166" formatCode="\₹#,##0.00"/>
    </dxf>
    <dxf>
      <numFmt numFmtId="166" formatCode="\₹#,##0.00"/>
    </dxf>
    <dxf>
      <numFmt numFmtId="166" formatCode="\₹#,##0.00"/>
    </dxf>
    <dxf>
      <numFmt numFmtId="13" formatCode="0%"/>
    </dxf>
    <dxf>
      <numFmt numFmtId="166" formatCode="\₹#,##0.00"/>
    </dxf>
    <dxf>
      <numFmt numFmtId="165" formatCode="dd\-mmm\-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Sales_Analysis_Dashboard_Dataset.xlsx]Sheet2!PivotTable2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Sheet2!$B$4:$B$17</c:f>
              <c:numCache>
                <c:formatCode>\₹#,##0.00</c:formatCode>
                <c:ptCount val="12"/>
                <c:pt idx="0">
                  <c:v>344903.23</c:v>
                </c:pt>
                <c:pt idx="1">
                  <c:v>398549.76000000001</c:v>
                </c:pt>
                <c:pt idx="2">
                  <c:v>649722.27</c:v>
                </c:pt>
                <c:pt idx="3">
                  <c:v>155981.87</c:v>
                </c:pt>
                <c:pt idx="4">
                  <c:v>140901.29</c:v>
                </c:pt>
                <c:pt idx="5">
                  <c:v>621078.84</c:v>
                </c:pt>
                <c:pt idx="6">
                  <c:v>189496.63000000003</c:v>
                </c:pt>
                <c:pt idx="7">
                  <c:v>781745.54999999993</c:v>
                </c:pt>
                <c:pt idx="8">
                  <c:v>675182.6399999999</c:v>
                </c:pt>
                <c:pt idx="9">
                  <c:v>1008637.3</c:v>
                </c:pt>
                <c:pt idx="10">
                  <c:v>225821.02000000002</c:v>
                </c:pt>
                <c:pt idx="11">
                  <c:v>268571.38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35-46B9-8645-447ED36AF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076928"/>
        <c:axId val="421598832"/>
      </c:lineChart>
      <c:catAx>
        <c:axId val="42307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98832"/>
        <c:crosses val="autoZero"/>
        <c:auto val="1"/>
        <c:lblAlgn val="ctr"/>
        <c:lblOffset val="100"/>
        <c:noMultiLvlLbl val="0"/>
      </c:catAx>
      <c:valAx>
        <c:axId val="4215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7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Sales_Analysis_Dashboard_Dataset.xlsx]Sheet3!PivotTable3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\₹#,##0.00</c:formatCode>
                <c:ptCount val="4"/>
                <c:pt idx="0">
                  <c:v>840325.03000000014</c:v>
                </c:pt>
                <c:pt idx="1">
                  <c:v>1414962.0100000002</c:v>
                </c:pt>
                <c:pt idx="2">
                  <c:v>1485710.9500000002</c:v>
                </c:pt>
                <c:pt idx="3">
                  <c:v>1719593.7899999998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1C-4A2C-8C82-E3D3AD3A6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748592"/>
        <c:axId val="421543632"/>
      </c:barChart>
      <c:catAx>
        <c:axId val="5787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43632"/>
        <c:crosses val="autoZero"/>
        <c:auto val="1"/>
        <c:lblAlgn val="ctr"/>
        <c:lblOffset val="100"/>
        <c:noMultiLvlLbl val="0"/>
      </c:catAx>
      <c:valAx>
        <c:axId val="42154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4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Sales_Analysis_Dashboard_Dataset.xlsx]Sheet4!PivotTable4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Office Chair</c:v>
                </c:pt>
                <c:pt idx="5">
                  <c:v>Headphones</c:v>
                </c:pt>
                <c:pt idx="6">
                  <c:v>Backpack</c:v>
                </c:pt>
                <c:pt idx="7">
                  <c:v>Water Bottle</c:v>
                </c:pt>
                <c:pt idx="8">
                  <c:v>Pen Pack</c:v>
                </c:pt>
                <c:pt idx="9">
                  <c:v>Notebook</c:v>
                </c:pt>
              </c:strCache>
            </c:strRef>
          </c:cat>
          <c:val>
            <c:numRef>
              <c:f>Sheet4!$B$4:$B$14</c:f>
              <c:numCache>
                <c:formatCode>\₹#,##0.00</c:formatCode>
                <c:ptCount val="10"/>
                <c:pt idx="0">
                  <c:v>2566650.48</c:v>
                </c:pt>
                <c:pt idx="1">
                  <c:v>1119622.5900000001</c:v>
                </c:pt>
                <c:pt idx="2">
                  <c:v>649691.22000000009</c:v>
                </c:pt>
                <c:pt idx="3">
                  <c:v>495642.30999999994</c:v>
                </c:pt>
                <c:pt idx="4">
                  <c:v>347445.22</c:v>
                </c:pt>
                <c:pt idx="5">
                  <c:v>152288.82</c:v>
                </c:pt>
                <c:pt idx="6">
                  <c:v>86513.37</c:v>
                </c:pt>
                <c:pt idx="7">
                  <c:v>29425.040000000005</c:v>
                </c:pt>
                <c:pt idx="8">
                  <c:v>9678.3799999999974</c:v>
                </c:pt>
                <c:pt idx="9">
                  <c:v>3634.3500000000004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C-4B6B-8FFF-78CFDBF13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517664"/>
        <c:axId val="421586832"/>
      </c:barChart>
      <c:catAx>
        <c:axId val="66051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86832"/>
        <c:crosses val="autoZero"/>
        <c:auto val="1"/>
        <c:lblAlgn val="ctr"/>
        <c:lblOffset val="100"/>
        <c:noMultiLvlLbl val="0"/>
      </c:catAx>
      <c:valAx>
        <c:axId val="42158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1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Sales_Analysis_Dashboard_Dataset.xlsx]Sheet5!PivotTable5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explosion val="9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Sheet5!$A$4:$A$8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Sheet5!$B$4:$B$8</c:f>
              <c:numCache>
                <c:formatCode>\₹#,##0.00</c:formatCode>
                <c:ptCount val="4"/>
                <c:pt idx="0">
                  <c:v>115938.40999999997</c:v>
                </c:pt>
                <c:pt idx="1">
                  <c:v>4334204.2</c:v>
                </c:pt>
                <c:pt idx="2">
                  <c:v>997136.44</c:v>
                </c:pt>
                <c:pt idx="3">
                  <c:v>13312.73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6-45AD-A56D-2F077D643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Sales_Analysis_Dashboard_Dataset.xlsx]Sheet2!PivotTable2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Sheet2!$B$4:$B$17</c:f>
              <c:numCache>
                <c:formatCode>\₹#,##0.00</c:formatCode>
                <c:ptCount val="12"/>
                <c:pt idx="0">
                  <c:v>344903.23</c:v>
                </c:pt>
                <c:pt idx="1">
                  <c:v>398549.76000000001</c:v>
                </c:pt>
                <c:pt idx="2">
                  <c:v>649722.27</c:v>
                </c:pt>
                <c:pt idx="3">
                  <c:v>155981.87</c:v>
                </c:pt>
                <c:pt idx="4">
                  <c:v>140901.29</c:v>
                </c:pt>
                <c:pt idx="5">
                  <c:v>621078.84</c:v>
                </c:pt>
                <c:pt idx="6">
                  <c:v>189496.63000000003</c:v>
                </c:pt>
                <c:pt idx="7">
                  <c:v>781745.54999999993</c:v>
                </c:pt>
                <c:pt idx="8">
                  <c:v>675182.6399999999</c:v>
                </c:pt>
                <c:pt idx="9">
                  <c:v>1008637.3</c:v>
                </c:pt>
                <c:pt idx="10">
                  <c:v>225821.02000000002</c:v>
                </c:pt>
                <c:pt idx="11">
                  <c:v>268571.38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9-41F7-A506-51ED6D0C8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076928"/>
        <c:axId val="421598832"/>
      </c:lineChart>
      <c:catAx>
        <c:axId val="42307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98832"/>
        <c:crosses val="autoZero"/>
        <c:auto val="1"/>
        <c:lblAlgn val="ctr"/>
        <c:lblOffset val="100"/>
        <c:noMultiLvlLbl val="0"/>
      </c:catAx>
      <c:valAx>
        <c:axId val="4215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7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Sales_Analysis_Dashboard_Dataset.xlsx]Sheet3!PivotTable3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SALES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\₹#,##0.00</c:formatCode>
                <c:ptCount val="4"/>
                <c:pt idx="0">
                  <c:v>840325.03000000014</c:v>
                </c:pt>
                <c:pt idx="1">
                  <c:v>1414962.0100000002</c:v>
                </c:pt>
                <c:pt idx="2">
                  <c:v>1485710.9500000002</c:v>
                </c:pt>
                <c:pt idx="3">
                  <c:v>1719593.7899999998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4-44EA-A687-C51457BF4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748592"/>
        <c:axId val="421543632"/>
      </c:barChart>
      <c:catAx>
        <c:axId val="5787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43632"/>
        <c:crosses val="autoZero"/>
        <c:auto val="1"/>
        <c:lblAlgn val="ctr"/>
        <c:lblOffset val="100"/>
        <c:noMultiLvlLbl val="0"/>
      </c:catAx>
      <c:valAx>
        <c:axId val="42154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74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Sales_Analysis_Dashboard_Dataset.xlsx]Sheet4!PivotTable4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PRODUCTS BY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Sheet4!$A$4:$A$14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Desk</c:v>
                </c:pt>
                <c:pt idx="3">
                  <c:v>Monitor</c:v>
                </c:pt>
                <c:pt idx="4">
                  <c:v>Office Chair</c:v>
                </c:pt>
                <c:pt idx="5">
                  <c:v>Headphones</c:v>
                </c:pt>
                <c:pt idx="6">
                  <c:v>Backpack</c:v>
                </c:pt>
                <c:pt idx="7">
                  <c:v>Water Bottle</c:v>
                </c:pt>
                <c:pt idx="8">
                  <c:v>Pen Pack</c:v>
                </c:pt>
                <c:pt idx="9">
                  <c:v>Notebook</c:v>
                </c:pt>
              </c:strCache>
            </c:strRef>
          </c:cat>
          <c:val>
            <c:numRef>
              <c:f>Sheet4!$B$4:$B$14</c:f>
              <c:numCache>
                <c:formatCode>\₹#,##0.00</c:formatCode>
                <c:ptCount val="10"/>
                <c:pt idx="0">
                  <c:v>2566650.48</c:v>
                </c:pt>
                <c:pt idx="1">
                  <c:v>1119622.5900000001</c:v>
                </c:pt>
                <c:pt idx="2">
                  <c:v>649691.22000000009</c:v>
                </c:pt>
                <c:pt idx="3">
                  <c:v>495642.30999999994</c:v>
                </c:pt>
                <c:pt idx="4">
                  <c:v>347445.22</c:v>
                </c:pt>
                <c:pt idx="5">
                  <c:v>152288.82</c:v>
                </c:pt>
                <c:pt idx="6">
                  <c:v>86513.37</c:v>
                </c:pt>
                <c:pt idx="7">
                  <c:v>29425.040000000005</c:v>
                </c:pt>
                <c:pt idx="8">
                  <c:v>9678.3799999999974</c:v>
                </c:pt>
                <c:pt idx="9">
                  <c:v>3634.3500000000004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E-46C0-834E-AC76F10AD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517664"/>
        <c:axId val="421586832"/>
      </c:barChart>
      <c:catAx>
        <c:axId val="66051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586832"/>
        <c:crosses val="autoZero"/>
        <c:auto val="1"/>
        <c:lblAlgn val="ctr"/>
        <c:lblOffset val="100"/>
        <c:noMultiLvlLbl val="0"/>
      </c:catAx>
      <c:valAx>
        <c:axId val="42158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1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Sales_Analysis_Dashboard_Dataset.xlsx]Sheet5!PivotTable5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explosion val="1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6B-4E49-86EB-CE223E1585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6B-4E49-86EB-CE223E1585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6B-4E49-86EB-CE223E1585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6B-4E49-86EB-CE223E1585FC}"/>
              </c:ext>
            </c:extLst>
          </c:dPt>
          <c:cat>
            <c:strRef>
              <c:f>Sheet5!$A$4:$A$8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Sheet5!$B$4:$B$8</c:f>
              <c:numCache>
                <c:formatCode>\₹#,##0.00</c:formatCode>
                <c:ptCount val="4"/>
                <c:pt idx="0">
                  <c:v>115938.40999999997</c:v>
                </c:pt>
                <c:pt idx="1">
                  <c:v>4334204.2</c:v>
                </c:pt>
                <c:pt idx="2">
                  <c:v>997136.44</c:v>
                </c:pt>
                <c:pt idx="3">
                  <c:v>13312.73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6B-4E49-86EB-CE223E158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1</xdr:row>
      <xdr:rowOff>64770</xdr:rowOff>
    </xdr:from>
    <xdr:to>
      <xdr:col>9</xdr:col>
      <xdr:colOff>388620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38930-7341-18F4-0B17-E72E951EF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1</xdr:row>
      <xdr:rowOff>0</xdr:rowOff>
    </xdr:from>
    <xdr:to>
      <xdr:col>11</xdr:col>
      <xdr:colOff>213360</xdr:colOff>
      <xdr:row>12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3AD44-7089-D10E-983D-A1C693A297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6</xdr:row>
      <xdr:rowOff>41910</xdr:rowOff>
    </xdr:from>
    <xdr:to>
      <xdr:col>11</xdr:col>
      <xdr:colOff>487680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EC878E-C655-1F9C-AB19-82F2D1FE8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0</xdr:row>
      <xdr:rowOff>87630</xdr:rowOff>
    </xdr:from>
    <xdr:to>
      <xdr:col>9</xdr:col>
      <xdr:colOff>449580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2B5FB4-7B19-F37D-79FB-C5B3EB17E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29307</xdr:colOff>
      <xdr:row>6</xdr:row>
      <xdr:rowOff>24581</xdr:rowOff>
    </xdr:from>
    <xdr:to>
      <xdr:col>7</xdr:col>
      <xdr:colOff>334107</xdr:colOff>
      <xdr:row>32</xdr:row>
      <xdr:rowOff>117231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1C689D-9591-4B70-A7E4-B120913949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596741</xdr:colOff>
      <xdr:row>5</xdr:row>
      <xdr:rowOff>171449</xdr:rowOff>
    </xdr:from>
    <xdr:to>
      <xdr:col>17</xdr:col>
      <xdr:colOff>141922</xdr:colOff>
      <xdr:row>32</xdr:row>
      <xdr:rowOff>61451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F22787-59F4-4EE2-9B42-2BE9D7CF9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208967</xdr:colOff>
      <xdr:row>5</xdr:row>
      <xdr:rowOff>172064</xdr:rowOff>
    </xdr:from>
    <xdr:to>
      <xdr:col>24</xdr:col>
      <xdr:colOff>513767</xdr:colOff>
      <xdr:row>32</xdr:row>
      <xdr:rowOff>98322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60D357-AB18-4995-A20F-7F6ED9BED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583405</xdr:colOff>
      <xdr:row>5</xdr:row>
      <xdr:rowOff>98107</xdr:rowOff>
    </xdr:from>
    <xdr:to>
      <xdr:col>33</xdr:col>
      <xdr:colOff>471486</xdr:colOff>
      <xdr:row>32</xdr:row>
      <xdr:rowOff>61451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A7DADC-92B8-48FA-A00D-B6E1F33EA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 nageswari" refreshedDate="46311.420389467596" createdVersion="8" refreshedVersion="8" minRefreshableVersion="3" recordCount="150" xr:uid="{174FA04C-6B2A-4893-B8B9-18C81521D919}">
  <cacheSource type="worksheet">
    <worksheetSource name="Table1"/>
  </cacheSource>
  <cacheFields count="15">
    <cacheField name="Order ID" numFmtId="0">
      <sharedItems count="150">
        <s v="ORD-0001"/>
        <s v="ORD-0002"/>
        <s v="ORD-0003"/>
        <s v="ORD-0004"/>
        <s v="ORD-0005"/>
        <s v="ORD-0006"/>
        <s v="ORD-0007"/>
        <s v="ORD-0008"/>
        <s v="ORD-0009"/>
        <s v="ORD-0010"/>
        <s v="ORD-0011"/>
        <s v="ORD-0012"/>
        <s v="ORD-0013"/>
        <s v="ORD-0014"/>
        <s v="ORD-0015"/>
        <s v="ORD-0016"/>
        <s v="ORD-0017"/>
        <s v="ORD-0018"/>
        <s v="ORD-0019"/>
        <s v="ORD-0020"/>
        <s v="ORD-0021"/>
        <s v="ORD-0022"/>
        <s v="ORD-0023"/>
        <s v="ORD-0024"/>
        <s v="ORD-0025"/>
        <s v="ORD-0026"/>
        <s v="ORD-0027"/>
        <s v="ORD-0028"/>
        <s v="ORD-0029"/>
        <s v="ORD-0030"/>
        <s v="ORD-0031"/>
        <s v="ORD-0032"/>
        <s v="ORD-0033"/>
        <s v="ORD-0034"/>
        <s v="ORD-0035"/>
        <s v="ORD-0036"/>
        <s v="ORD-0037"/>
        <s v="ORD-0038"/>
        <s v="ORD-0039"/>
        <s v="ORD-0040"/>
        <s v="ORD-0041"/>
        <s v="ORD-0042"/>
        <s v="ORD-0043"/>
        <s v="ORD-0044"/>
        <s v="ORD-0045"/>
        <s v="ORD-0046"/>
        <s v="ORD-0047"/>
        <s v="ORD-0048"/>
        <s v="ORD-0049"/>
        <s v="ORD-0050"/>
        <s v="ORD-0051"/>
        <s v="ORD-0052"/>
        <s v="ORD-0053"/>
        <s v="ORD-0054"/>
        <s v="ORD-0055"/>
        <s v="ORD-0056"/>
        <s v="ORD-0057"/>
        <s v="ORD-0058"/>
        <s v="ORD-0059"/>
        <s v="ORD-0060"/>
        <s v="ORD-0061"/>
        <s v="ORD-0062"/>
        <s v="ORD-0063"/>
        <s v="ORD-0064"/>
        <s v="ORD-0065"/>
        <s v="ORD-0066"/>
        <s v="ORD-0067"/>
        <s v="ORD-0068"/>
        <s v="ORD-0069"/>
        <s v="ORD-0070"/>
        <s v="ORD-0071"/>
        <s v="ORD-0072"/>
        <s v="ORD-0073"/>
        <s v="ORD-0074"/>
        <s v="ORD-0075"/>
        <s v="ORD-0076"/>
        <s v="ORD-0077"/>
        <s v="ORD-0078"/>
        <s v="ORD-0079"/>
        <s v="ORD-0080"/>
        <s v="ORD-0081"/>
        <s v="ORD-0082"/>
        <s v="ORD-0083"/>
        <s v="ORD-0084"/>
        <s v="ORD-0085"/>
        <s v="ORD-0086"/>
        <s v="ORD-0087"/>
        <s v="ORD-0088"/>
        <s v="ORD-0089"/>
        <s v="ORD-0090"/>
        <s v="ORD-0091"/>
        <s v="ORD-0092"/>
        <s v="ORD-0093"/>
        <s v="ORD-0094"/>
        <s v="ORD-0095"/>
        <s v="ORD-0096"/>
        <s v="ORD-0097"/>
        <s v="ORD-0098"/>
        <s v="ORD-0099"/>
        <s v="ORD-0100"/>
        <s v="ORD-0101"/>
        <s v="ORD-0102"/>
        <s v="ORD-0103"/>
        <s v="ORD-0104"/>
        <s v="ORD-0105"/>
        <s v="ORD-0106"/>
        <s v="ORD-0107"/>
        <s v="ORD-0108"/>
        <s v="ORD-0109"/>
        <s v="ORD-0110"/>
        <s v="ORD-0111"/>
        <s v="ORD-0112"/>
        <s v="ORD-0113"/>
        <s v="ORD-0114"/>
        <s v="ORD-0115"/>
        <s v="ORD-0116"/>
        <s v="ORD-0117"/>
        <s v="ORD-0118"/>
        <s v="ORD-0119"/>
        <s v="ORD-0120"/>
        <s v="ORD-0121"/>
        <s v="ORD-0122"/>
        <s v="ORD-0123"/>
        <s v="ORD-0124"/>
        <s v="ORD-0125"/>
        <s v="ORD-0126"/>
        <s v="ORD-0127"/>
        <s v="ORD-0128"/>
        <s v="ORD-0129"/>
        <s v="ORD-0130"/>
        <s v="ORD-0131"/>
        <s v="ORD-0132"/>
        <s v="ORD-0133"/>
        <s v="ORD-0134"/>
        <s v="ORD-0135"/>
        <s v="ORD-0136"/>
        <s v="ORD-0137"/>
        <s v="ORD-0138"/>
        <s v="ORD-0139"/>
        <s v="ORD-0140"/>
        <s v="ORD-0141"/>
        <s v="ORD-0142"/>
        <s v="ORD-0143"/>
        <s v="ORD-0144"/>
        <s v="ORD-0145"/>
        <s v="ORD-0146"/>
        <s v="ORD-0147"/>
        <s v="ORD-0148"/>
        <s v="ORD-0149"/>
        <s v="ORD-0150"/>
      </sharedItems>
    </cacheField>
    <cacheField name="Order Date" numFmtId="165">
      <sharedItems containsSemiMixedTypes="0" containsNonDate="0" containsDate="1" containsString="0" minDate="2025-01-02T00:00:00" maxDate="2025-12-29T00:00:00" count="121">
        <d v="2025-11-24T00:00:00"/>
        <d v="2025-10-07T00:00:00"/>
        <d v="2025-10-15T00:00:00"/>
        <d v="2025-12-24T00:00:00"/>
        <d v="2025-07-14T00:00:00"/>
        <d v="2025-03-05T00:00:00"/>
        <d v="2025-12-27T00:00:00"/>
        <d v="2025-05-23T00:00:00"/>
        <d v="2025-11-28T00:00:00"/>
        <d v="2025-12-19T00:00:00"/>
        <d v="2025-05-18T00:00:00"/>
        <d v="2025-03-15T00:00:00"/>
        <d v="2025-10-26T00:00:00"/>
        <d v="2025-03-20T00:00:00"/>
        <d v="2025-10-11T00:00:00"/>
        <d v="2025-01-02T00:00:00"/>
        <d v="2025-06-07T00:00:00"/>
        <d v="2025-09-30T00:00:00"/>
        <d v="2025-04-19T00:00:00"/>
        <d v="2025-05-07T00:00:00"/>
        <d v="2025-02-06T00:00:00"/>
        <d v="2025-09-06T00:00:00"/>
        <d v="2025-12-04T00:00:00"/>
        <d v="2025-11-27T00:00:00"/>
        <d v="2025-04-08T00:00:00"/>
        <d v="2025-08-15T00:00:00"/>
        <d v="2025-03-27T00:00:00"/>
        <d v="2025-07-19T00:00:00"/>
        <d v="2025-06-01T00:00:00"/>
        <d v="2025-09-29T00:00:00"/>
        <d v="2025-07-26T00:00:00"/>
        <d v="2025-06-11T00:00:00"/>
        <d v="2025-08-23T00:00:00"/>
        <d v="2025-10-03T00:00:00"/>
        <d v="2025-08-13T00:00:00"/>
        <d v="2025-05-16T00:00:00"/>
        <d v="2025-12-18T00:00:00"/>
        <d v="2025-02-27T00:00:00"/>
        <d v="2025-07-28T00:00:00"/>
        <d v="2025-06-20T00:00:00"/>
        <d v="2025-04-24T00:00:00"/>
        <d v="2025-06-18T00:00:00"/>
        <d v="2025-06-19T00:00:00"/>
        <d v="2025-11-02T00:00:00"/>
        <d v="2025-12-10T00:00:00"/>
        <d v="2025-06-03T00:00:00"/>
        <d v="2025-08-04T00:00:00"/>
        <d v="2025-08-09T00:00:00"/>
        <d v="2025-03-28T00:00:00"/>
        <d v="2025-03-17T00:00:00"/>
        <d v="2025-11-19T00:00:00"/>
        <d v="2025-02-24T00:00:00"/>
        <d v="2025-08-22T00:00:00"/>
        <d v="2025-10-08T00:00:00"/>
        <d v="2025-09-24T00:00:00"/>
        <d v="2025-06-13T00:00:00"/>
        <d v="2025-02-02T00:00:00"/>
        <d v="2025-08-03T00:00:00"/>
        <d v="2025-12-09T00:00:00"/>
        <d v="2025-10-16T00:00:00"/>
        <d v="2025-02-11T00:00:00"/>
        <d v="2025-01-21T00:00:00"/>
        <d v="2025-02-28T00:00:00"/>
        <d v="2025-07-23T00:00:00"/>
        <d v="2025-10-17T00:00:00"/>
        <d v="2025-09-25T00:00:00"/>
        <d v="2025-06-16T00:00:00"/>
        <d v="2025-05-22T00:00:00"/>
        <d v="2025-12-20T00:00:00"/>
        <d v="2025-06-06T00:00:00"/>
        <d v="2025-03-03T00:00:00"/>
        <d v="2025-10-01T00:00:00"/>
        <d v="2025-09-09T00:00:00"/>
        <d v="2025-05-10T00:00:00"/>
        <d v="2025-03-19T00:00:00"/>
        <d v="2025-11-13T00:00:00"/>
        <d v="2025-10-19T00:00:00"/>
        <d v="2025-03-30T00:00:00"/>
        <d v="2025-01-17T00:00:00"/>
        <d v="2025-11-17T00:00:00"/>
        <d v="2025-03-14T00:00:00"/>
        <d v="2025-12-12T00:00:00"/>
        <d v="2025-11-30T00:00:00"/>
        <d v="2025-08-29T00:00:00"/>
        <d v="2025-09-11T00:00:00"/>
        <d v="2025-09-21T00:00:00"/>
        <d v="2025-02-17T00:00:00"/>
        <d v="2025-12-28T00:00:00"/>
        <d v="2025-11-03T00:00:00"/>
        <d v="2025-10-06T00:00:00"/>
        <d v="2025-01-23T00:00:00"/>
        <d v="2025-10-30T00:00:00"/>
        <d v="2025-07-29T00:00:00"/>
        <d v="2025-05-01T00:00:00"/>
        <d v="2025-08-16T00:00:00"/>
        <d v="2025-11-14T00:00:00"/>
        <d v="2025-01-05T00:00:00"/>
        <d v="2025-05-02T00:00:00"/>
        <d v="2025-05-21T00:00:00"/>
        <d v="2025-08-14T00:00:00"/>
        <d v="2025-03-09T00:00:00"/>
        <d v="2025-06-23T00:00:00"/>
        <d v="2025-10-13T00:00:00"/>
        <d v="2025-12-11T00:00:00"/>
        <d v="2025-06-17T00:00:00"/>
        <d v="2025-03-01T00:00:00"/>
        <d v="2025-03-11T00:00:00"/>
        <d v="2025-08-01T00:00:00"/>
        <d v="2025-08-21T00:00:00"/>
        <d v="2025-04-16T00:00:00"/>
        <d v="2025-08-20T00:00:00"/>
        <d v="2025-02-01T00:00:00"/>
        <d v="2025-12-02T00:00:00"/>
        <d v="2025-02-04T00:00:00"/>
        <d v="2025-10-12T00:00:00"/>
        <d v="2025-01-27T00:00:00"/>
        <d v="2025-04-25T00:00:00"/>
        <d v="2025-11-15T00:00:00"/>
        <d v="2025-06-29T00:00:00"/>
        <d v="2025-02-16T00:00:00"/>
        <d v="2025-05-20T00:00:00"/>
      </sharedItems>
      <fieldGroup par="14"/>
    </cacheField>
    <cacheField name="Region" numFmtId="0">
      <sharedItems count="4">
        <s v="East"/>
        <s v="North"/>
        <s v="South"/>
        <s v="West"/>
      </sharedItems>
    </cacheField>
    <cacheField name="City" numFmtId="0">
      <sharedItems/>
    </cacheField>
    <cacheField name="Product" numFmtId="0">
      <sharedItems count="10">
        <s v="Headphones"/>
        <s v="Office Chair"/>
        <s v="Pen Pack"/>
        <s v="Backpack"/>
        <s v="Water Bottle"/>
        <s v="Desk"/>
        <s v="Smartphone"/>
        <s v="Laptop"/>
        <s v="Notebook"/>
        <s v="Monitor"/>
      </sharedItems>
    </cacheField>
    <cacheField name="Category" numFmtId="0">
      <sharedItems count="4">
        <s v="Electronics"/>
        <s v="Furniture"/>
        <s v="Stationery"/>
        <s v="Accessories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166">
      <sharedItems containsSemiMixedTypes="0" containsString="0" containsNumber="1" minValue="74.38" maxValue="59070.3"/>
    </cacheField>
    <cacheField name="Discount" numFmtId="9">
      <sharedItems containsSemiMixedTypes="0" containsString="0" containsNumber="1" minValue="0" maxValue="0.15"/>
    </cacheField>
    <cacheField name="Sales" numFmtId="166">
      <sharedItems containsSemiMixedTypes="0" containsString="0" containsNumber="1" minValue="82.14" maxValue="441298.16"/>
    </cacheField>
    <cacheField name="Cost" numFmtId="166">
      <sharedItems containsSemiMixedTypes="0" containsString="0" containsNumber="1" minValue="53.02" maxValue="316901.13"/>
    </cacheField>
    <cacheField name="Profit" numFmtId="166">
      <sharedItems containsSemiMixedTypes="0" containsString="0" containsNumber="1" minValue="5.37" maxValue="124397.03"/>
    </cacheField>
    <cacheField name="Sales Channel" numFmtId="0">
      <sharedItems/>
    </cacheField>
    <cacheField name="Months (Order Date)" numFmtId="0" databaseField="0">
      <fieldGroup base="1">
        <rangePr groupBy="months" startDate="2025-01-02T00:00:00" endDate="2025-12-29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2-2025"/>
        </groupItems>
      </fieldGroup>
    </cacheField>
    <cacheField name="Years (Order Date)" numFmtId="0" databaseField="0">
      <fieldGroup base="1">
        <rangePr groupBy="years" startDate="2025-01-02T00:00:00" endDate="2025-12-29T00:00:00"/>
        <groupItems count="3">
          <s v="&lt;02-01-2025"/>
          <s v="2025"/>
          <s v="&gt;29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s v="Kolkata"/>
    <x v="0"/>
    <x v="0"/>
    <n v="1"/>
    <n v="1696.19"/>
    <n v="0"/>
    <n v="1696.19"/>
    <n v="979.84"/>
    <n v="716.35"/>
    <s v="Distributor"/>
  </r>
  <r>
    <x v="1"/>
    <x v="1"/>
    <x v="1"/>
    <s v="Delhi"/>
    <x v="0"/>
    <x v="0"/>
    <n v="7"/>
    <n v="1718.97"/>
    <n v="0"/>
    <n v="12032.79"/>
    <n v="8259.86"/>
    <n v="3772.93"/>
    <s v="Online"/>
  </r>
  <r>
    <x v="2"/>
    <x v="2"/>
    <x v="2"/>
    <s v="Bengaluru"/>
    <x v="1"/>
    <x v="1"/>
    <n v="7"/>
    <n v="6269.32"/>
    <n v="0.15"/>
    <n v="37302.449999999997"/>
    <n v="34437.230000000003"/>
    <n v="2865.22"/>
    <s v="Online"/>
  </r>
  <r>
    <x v="3"/>
    <x v="3"/>
    <x v="0"/>
    <s v="Kolkata"/>
    <x v="2"/>
    <x v="2"/>
    <n v="6"/>
    <n v="128.78"/>
    <n v="0"/>
    <n v="772.68"/>
    <n v="495.2"/>
    <n v="277.48"/>
    <s v="Online"/>
  </r>
  <r>
    <x v="4"/>
    <x v="4"/>
    <x v="0"/>
    <s v="Patna"/>
    <x v="0"/>
    <x v="0"/>
    <n v="6"/>
    <n v="1888.45"/>
    <n v="0.05"/>
    <n v="10764.17"/>
    <n v="8464.35"/>
    <n v="2299.8200000000002"/>
    <s v="Distributor"/>
  </r>
  <r>
    <x v="5"/>
    <x v="5"/>
    <x v="0"/>
    <s v="Patna"/>
    <x v="2"/>
    <x v="2"/>
    <n v="2"/>
    <n v="127.4"/>
    <n v="0.15"/>
    <n v="216.58"/>
    <n v="165.02"/>
    <n v="51.56"/>
    <s v="Online"/>
  </r>
  <r>
    <x v="6"/>
    <x v="6"/>
    <x v="2"/>
    <s v="Bengaluru"/>
    <x v="0"/>
    <x v="0"/>
    <n v="1"/>
    <n v="1902.33"/>
    <n v="0"/>
    <n v="1902.33"/>
    <n v="1491.33"/>
    <n v="411"/>
    <s v="Retail"/>
  </r>
  <r>
    <x v="7"/>
    <x v="7"/>
    <x v="2"/>
    <s v="Bengaluru"/>
    <x v="3"/>
    <x v="3"/>
    <n v="6"/>
    <n v="1430.28"/>
    <n v="0.05"/>
    <n v="8152.6"/>
    <n v="5338.53"/>
    <n v="2814.07"/>
    <s v="Distributor"/>
  </r>
  <r>
    <x v="8"/>
    <x v="8"/>
    <x v="2"/>
    <s v="Chennai"/>
    <x v="0"/>
    <x v="0"/>
    <n v="3"/>
    <n v="1765.28"/>
    <n v="0.1"/>
    <n v="4766.26"/>
    <n v="4327.6099999999997"/>
    <n v="438.65"/>
    <s v="Distributor"/>
  </r>
  <r>
    <x v="9"/>
    <x v="9"/>
    <x v="0"/>
    <s v="Kolkata"/>
    <x v="4"/>
    <x v="3"/>
    <n v="4"/>
    <n v="473.17"/>
    <n v="0"/>
    <n v="1892.68"/>
    <n v="1452.37"/>
    <n v="440.31"/>
    <s v="Retail"/>
  </r>
  <r>
    <x v="10"/>
    <x v="10"/>
    <x v="0"/>
    <s v="Kolkata"/>
    <x v="0"/>
    <x v="0"/>
    <n v="4"/>
    <n v="1769.94"/>
    <n v="0.1"/>
    <n v="6371.78"/>
    <n v="5642.06"/>
    <n v="729.72"/>
    <s v="Retail"/>
  </r>
  <r>
    <x v="11"/>
    <x v="11"/>
    <x v="2"/>
    <s v="Hyderabad"/>
    <x v="5"/>
    <x v="1"/>
    <n v="3"/>
    <n v="9056.1299999999992"/>
    <n v="0.15"/>
    <n v="23093.13"/>
    <n v="20422.310000000001"/>
    <n v="2670.82"/>
    <s v="Retail"/>
  </r>
  <r>
    <x v="12"/>
    <x v="12"/>
    <x v="2"/>
    <s v="Chennai"/>
    <x v="2"/>
    <x v="2"/>
    <n v="6"/>
    <n v="119.88"/>
    <n v="0.15"/>
    <n v="611.39"/>
    <n v="542.38"/>
    <n v="69.010000000000005"/>
    <s v="Online"/>
  </r>
  <r>
    <x v="13"/>
    <x v="13"/>
    <x v="1"/>
    <s v="Jaipur"/>
    <x v="6"/>
    <x v="0"/>
    <n v="7"/>
    <n v="22337.53"/>
    <n v="0.1"/>
    <n v="140726.44"/>
    <n v="105759.59"/>
    <n v="34966.85"/>
    <s v="Retail"/>
  </r>
  <r>
    <x v="14"/>
    <x v="14"/>
    <x v="0"/>
    <s v="Patna"/>
    <x v="7"/>
    <x v="0"/>
    <n v="2"/>
    <n v="51581.66"/>
    <n v="0.05"/>
    <n v="98005.15"/>
    <n v="68849.820000000007"/>
    <n v="29155.33"/>
    <s v="Retail"/>
  </r>
  <r>
    <x v="15"/>
    <x v="15"/>
    <x v="1"/>
    <s v="Chandigarh"/>
    <x v="5"/>
    <x v="1"/>
    <n v="3"/>
    <n v="9492"/>
    <n v="0.05"/>
    <n v="27052.2"/>
    <n v="19564.98"/>
    <n v="7487.22"/>
    <s v="Online"/>
  </r>
  <r>
    <x v="16"/>
    <x v="13"/>
    <x v="1"/>
    <s v="Chandigarh"/>
    <x v="8"/>
    <x v="2"/>
    <n v="3"/>
    <n v="79.849999999999994"/>
    <n v="0.05"/>
    <n v="227.57"/>
    <n v="138.99"/>
    <n v="88.58"/>
    <s v="Retail"/>
  </r>
  <r>
    <x v="17"/>
    <x v="16"/>
    <x v="2"/>
    <s v="Hyderabad"/>
    <x v="1"/>
    <x v="1"/>
    <n v="1"/>
    <n v="6069.08"/>
    <n v="0"/>
    <n v="6069.08"/>
    <n v="4134.3599999999997"/>
    <n v="1934.72"/>
    <s v="Online"/>
  </r>
  <r>
    <x v="18"/>
    <x v="17"/>
    <x v="3"/>
    <s v="Ahmedabad"/>
    <x v="6"/>
    <x v="0"/>
    <n v="3"/>
    <n v="21173"/>
    <n v="0"/>
    <n v="63519"/>
    <n v="49897.79"/>
    <n v="13621.21"/>
    <s v="Retail"/>
  </r>
  <r>
    <x v="19"/>
    <x v="18"/>
    <x v="0"/>
    <s v="Bhubaneswar"/>
    <x v="4"/>
    <x v="3"/>
    <n v="4"/>
    <n v="445.54"/>
    <n v="0.05"/>
    <n v="1693.05"/>
    <n v="1229.24"/>
    <n v="463.81"/>
    <s v="Online"/>
  </r>
  <r>
    <x v="20"/>
    <x v="19"/>
    <x v="0"/>
    <s v="Kolkata"/>
    <x v="1"/>
    <x v="1"/>
    <n v="2"/>
    <n v="6556.08"/>
    <n v="0.15"/>
    <n v="11145.34"/>
    <n v="9294.93"/>
    <n v="1850.41"/>
    <s v="Online"/>
  </r>
  <r>
    <x v="21"/>
    <x v="20"/>
    <x v="1"/>
    <s v="Delhi"/>
    <x v="7"/>
    <x v="0"/>
    <n v="4"/>
    <n v="51223.54"/>
    <n v="0.05"/>
    <n v="194649.45"/>
    <n v="125858.54"/>
    <n v="68790.91"/>
    <s v="Distributor"/>
  </r>
  <r>
    <x v="22"/>
    <x v="21"/>
    <x v="3"/>
    <s v="Mumbai"/>
    <x v="1"/>
    <x v="1"/>
    <n v="3"/>
    <n v="6819.8"/>
    <n v="0.1"/>
    <n v="18413.46"/>
    <n v="12304.5"/>
    <n v="6108.96"/>
    <s v="Online"/>
  </r>
  <r>
    <x v="23"/>
    <x v="22"/>
    <x v="3"/>
    <s v="Pune"/>
    <x v="2"/>
    <x v="2"/>
    <n v="6"/>
    <n v="126.99"/>
    <n v="0.1"/>
    <n v="685.75"/>
    <n v="430.21"/>
    <n v="255.54"/>
    <s v="Distributor"/>
  </r>
  <r>
    <x v="24"/>
    <x v="23"/>
    <x v="3"/>
    <s v="Ahmedabad"/>
    <x v="0"/>
    <x v="0"/>
    <n v="1"/>
    <n v="1886.57"/>
    <n v="0.05"/>
    <n v="1792.24"/>
    <n v="1093.27"/>
    <n v="698.97"/>
    <s v="Online"/>
  </r>
  <r>
    <x v="25"/>
    <x v="24"/>
    <x v="2"/>
    <s v="Bengaluru"/>
    <x v="4"/>
    <x v="3"/>
    <n v="8"/>
    <n v="434.06"/>
    <n v="0"/>
    <n v="3472.48"/>
    <n v="2144.0700000000002"/>
    <n v="1328.41"/>
    <s v="Online"/>
  </r>
  <r>
    <x v="26"/>
    <x v="25"/>
    <x v="1"/>
    <s v="Chandigarh"/>
    <x v="4"/>
    <x v="3"/>
    <n v="2"/>
    <n v="474.19"/>
    <n v="0.15"/>
    <n v="806.12"/>
    <n v="769.73"/>
    <n v="36.39"/>
    <s v="Online"/>
  </r>
  <r>
    <x v="27"/>
    <x v="26"/>
    <x v="3"/>
    <s v="Mumbai"/>
    <x v="2"/>
    <x v="2"/>
    <n v="8"/>
    <n v="127.73"/>
    <n v="0.1"/>
    <n v="919.66"/>
    <n v="607.42999999999995"/>
    <n v="312.23"/>
    <s v="Online"/>
  </r>
  <r>
    <x v="28"/>
    <x v="27"/>
    <x v="0"/>
    <s v="Bhubaneswar"/>
    <x v="5"/>
    <x v="1"/>
    <n v="8"/>
    <n v="9233.09"/>
    <n v="0.15"/>
    <n v="62785.01"/>
    <n v="50331.51"/>
    <n v="12453.5"/>
    <s v="Online"/>
  </r>
  <r>
    <x v="29"/>
    <x v="28"/>
    <x v="1"/>
    <s v="Chandigarh"/>
    <x v="1"/>
    <x v="1"/>
    <n v="1"/>
    <n v="6039.45"/>
    <n v="0.05"/>
    <n v="5737.48"/>
    <n v="4274.29"/>
    <n v="1463.19"/>
    <s v="Distributor"/>
  </r>
  <r>
    <x v="30"/>
    <x v="29"/>
    <x v="1"/>
    <s v="Delhi"/>
    <x v="6"/>
    <x v="0"/>
    <n v="1"/>
    <n v="22334.52"/>
    <n v="0"/>
    <n v="22334.52"/>
    <n v="16355.73"/>
    <n v="5978.79"/>
    <s v="Online"/>
  </r>
  <r>
    <x v="31"/>
    <x v="30"/>
    <x v="1"/>
    <s v="Chandigarh"/>
    <x v="0"/>
    <x v="0"/>
    <n v="4"/>
    <n v="1776.74"/>
    <n v="0"/>
    <n v="7106.96"/>
    <n v="5028.82"/>
    <n v="2078.14"/>
    <s v="Distributor"/>
  </r>
  <r>
    <x v="32"/>
    <x v="31"/>
    <x v="0"/>
    <s v="Kolkata"/>
    <x v="5"/>
    <x v="1"/>
    <n v="4"/>
    <n v="8849.93"/>
    <n v="0.05"/>
    <n v="33629.730000000003"/>
    <n v="25889.81"/>
    <n v="7739.92"/>
    <s v="Retail"/>
  </r>
  <r>
    <x v="33"/>
    <x v="32"/>
    <x v="1"/>
    <s v="Jaipur"/>
    <x v="8"/>
    <x v="2"/>
    <n v="2"/>
    <n v="86.38"/>
    <n v="0.15"/>
    <n v="146.85"/>
    <n v="141.47999999999999"/>
    <n v="5.37"/>
    <s v="Online"/>
  </r>
  <r>
    <x v="34"/>
    <x v="33"/>
    <x v="2"/>
    <s v="Bengaluru"/>
    <x v="1"/>
    <x v="1"/>
    <n v="5"/>
    <n v="6894.44"/>
    <n v="0"/>
    <n v="34472.199999999997"/>
    <n v="22399.08"/>
    <n v="12073.12"/>
    <s v="Online"/>
  </r>
  <r>
    <x v="35"/>
    <x v="34"/>
    <x v="1"/>
    <s v="Chandigarh"/>
    <x v="4"/>
    <x v="3"/>
    <n v="5"/>
    <n v="435.56"/>
    <n v="0.15"/>
    <n v="1851.13"/>
    <n v="1587.87"/>
    <n v="263.26"/>
    <s v="Online"/>
  </r>
  <r>
    <x v="36"/>
    <x v="35"/>
    <x v="2"/>
    <s v="Bengaluru"/>
    <x v="0"/>
    <x v="0"/>
    <n v="2"/>
    <n v="1830.19"/>
    <n v="0.05"/>
    <n v="3477.36"/>
    <n v="2722.43"/>
    <n v="754.93"/>
    <s v="Online"/>
  </r>
  <r>
    <x v="37"/>
    <x v="36"/>
    <x v="0"/>
    <s v="Kolkata"/>
    <x v="5"/>
    <x v="1"/>
    <n v="8"/>
    <n v="9193.3700000000008"/>
    <n v="0"/>
    <n v="73546.960000000006"/>
    <n v="56919.76"/>
    <n v="16627.2"/>
    <s v="Online"/>
  </r>
  <r>
    <x v="38"/>
    <x v="15"/>
    <x v="0"/>
    <s v="Kolkata"/>
    <x v="8"/>
    <x v="2"/>
    <n v="3"/>
    <n v="80.66"/>
    <n v="0.1"/>
    <n v="217.78"/>
    <n v="161.03"/>
    <n v="56.75"/>
    <s v="Online"/>
  </r>
  <r>
    <x v="39"/>
    <x v="37"/>
    <x v="1"/>
    <s v="Jaipur"/>
    <x v="0"/>
    <x v="0"/>
    <n v="3"/>
    <n v="1815.13"/>
    <n v="0.15"/>
    <n v="4628.58"/>
    <n v="3626.86"/>
    <n v="1001.72"/>
    <s v="Online"/>
  </r>
  <r>
    <x v="40"/>
    <x v="16"/>
    <x v="0"/>
    <s v="Kolkata"/>
    <x v="8"/>
    <x v="2"/>
    <n v="1"/>
    <n v="82.14"/>
    <n v="0"/>
    <n v="82.14"/>
    <n v="53.02"/>
    <n v="29.12"/>
    <s v="Distributor"/>
  </r>
  <r>
    <x v="41"/>
    <x v="38"/>
    <x v="2"/>
    <s v="Chennai"/>
    <x v="9"/>
    <x v="0"/>
    <n v="3"/>
    <n v="13262.83"/>
    <n v="0"/>
    <n v="39788.49"/>
    <n v="22149.95"/>
    <n v="17638.54"/>
    <s v="Distributor"/>
  </r>
  <r>
    <x v="42"/>
    <x v="39"/>
    <x v="0"/>
    <s v="Kolkata"/>
    <x v="2"/>
    <x v="2"/>
    <n v="4"/>
    <n v="117.74"/>
    <n v="0"/>
    <n v="470.96"/>
    <n v="263.95"/>
    <n v="207.01"/>
    <s v="Retail"/>
  </r>
  <r>
    <x v="43"/>
    <x v="40"/>
    <x v="0"/>
    <s v="Bhubaneswar"/>
    <x v="1"/>
    <x v="1"/>
    <n v="8"/>
    <n v="6211.84"/>
    <n v="0"/>
    <n v="49694.720000000001"/>
    <n v="36188.14"/>
    <n v="13506.58"/>
    <s v="Retail"/>
  </r>
  <r>
    <x v="44"/>
    <x v="41"/>
    <x v="0"/>
    <s v="Bhubaneswar"/>
    <x v="5"/>
    <x v="1"/>
    <n v="2"/>
    <n v="8855.5400000000009"/>
    <n v="0.15"/>
    <n v="15054.42"/>
    <n v="14432.94"/>
    <n v="621.48"/>
    <s v="Distributor"/>
  </r>
  <r>
    <x v="45"/>
    <x v="42"/>
    <x v="0"/>
    <s v="Kolkata"/>
    <x v="7"/>
    <x v="0"/>
    <n v="2"/>
    <n v="59070.3"/>
    <n v="0.15"/>
    <n v="100419.51"/>
    <n v="73445.17"/>
    <n v="26974.34"/>
    <s v="Online"/>
  </r>
  <r>
    <x v="46"/>
    <x v="43"/>
    <x v="0"/>
    <s v="Bhubaneswar"/>
    <x v="2"/>
    <x v="2"/>
    <n v="6"/>
    <n v="129.30000000000001"/>
    <n v="0.15"/>
    <n v="659.43"/>
    <n v="450.91"/>
    <n v="208.52"/>
    <s v="Distributor"/>
  </r>
  <r>
    <x v="47"/>
    <x v="24"/>
    <x v="3"/>
    <s v="Mumbai"/>
    <x v="5"/>
    <x v="1"/>
    <n v="1"/>
    <n v="9612.83"/>
    <n v="0.15"/>
    <n v="8170.91"/>
    <n v="6684.59"/>
    <n v="1486.32"/>
    <s v="Distributor"/>
  </r>
  <r>
    <x v="48"/>
    <x v="44"/>
    <x v="3"/>
    <s v="Mumbai"/>
    <x v="1"/>
    <x v="1"/>
    <n v="6"/>
    <n v="6628.08"/>
    <n v="0.05"/>
    <n v="37780.06"/>
    <n v="28995.78"/>
    <n v="8784.2800000000007"/>
    <s v="Online"/>
  </r>
  <r>
    <x v="49"/>
    <x v="45"/>
    <x v="3"/>
    <s v="Pune"/>
    <x v="4"/>
    <x v="3"/>
    <n v="5"/>
    <n v="464.2"/>
    <n v="0.1"/>
    <n v="2088.9"/>
    <n v="1623.98"/>
    <n v="464.92"/>
    <s v="Online"/>
  </r>
  <r>
    <x v="50"/>
    <x v="46"/>
    <x v="0"/>
    <s v="Bhubaneswar"/>
    <x v="2"/>
    <x v="2"/>
    <n v="3"/>
    <n v="126.41"/>
    <n v="0.15"/>
    <n v="322.35000000000002"/>
    <n v="239.69"/>
    <n v="82.66"/>
    <s v="Online"/>
  </r>
  <r>
    <x v="51"/>
    <x v="47"/>
    <x v="3"/>
    <s v="Pune"/>
    <x v="9"/>
    <x v="0"/>
    <n v="6"/>
    <n v="12851.25"/>
    <n v="0.1"/>
    <n v="69396.75"/>
    <n v="53051.27"/>
    <n v="16345.48"/>
    <s v="Distributor"/>
  </r>
  <r>
    <x v="52"/>
    <x v="48"/>
    <x v="0"/>
    <s v="Kolkata"/>
    <x v="0"/>
    <x v="0"/>
    <n v="5"/>
    <n v="1849.77"/>
    <n v="0"/>
    <n v="9248.85"/>
    <n v="5647.84"/>
    <n v="3601.01"/>
    <s v="Online"/>
  </r>
  <r>
    <x v="53"/>
    <x v="49"/>
    <x v="2"/>
    <s v="Bengaluru"/>
    <x v="7"/>
    <x v="0"/>
    <n v="1"/>
    <n v="58077.69"/>
    <n v="0.15"/>
    <n v="49366.04"/>
    <n v="33084.75"/>
    <n v="16281.29"/>
    <s v="Retail"/>
  </r>
  <r>
    <x v="54"/>
    <x v="50"/>
    <x v="3"/>
    <s v="Pune"/>
    <x v="9"/>
    <x v="0"/>
    <n v="4"/>
    <n v="11987.97"/>
    <n v="0.1"/>
    <n v="43156.69"/>
    <n v="34867.519999999997"/>
    <n v="8289.17"/>
    <s v="Online"/>
  </r>
  <r>
    <x v="55"/>
    <x v="51"/>
    <x v="2"/>
    <s v="Hyderabad"/>
    <x v="2"/>
    <x v="2"/>
    <n v="4"/>
    <n v="119.32"/>
    <n v="0.15"/>
    <n v="405.69"/>
    <n v="334.33"/>
    <n v="71.36"/>
    <s v="Online"/>
  </r>
  <r>
    <x v="56"/>
    <x v="52"/>
    <x v="0"/>
    <s v="Bhubaneswar"/>
    <x v="6"/>
    <x v="0"/>
    <n v="8"/>
    <n v="23108.82"/>
    <n v="0.15"/>
    <n v="157139.98000000001"/>
    <n v="146204.04999999999"/>
    <n v="10935.93"/>
    <s v="Retail"/>
  </r>
  <r>
    <x v="57"/>
    <x v="53"/>
    <x v="3"/>
    <s v="Pune"/>
    <x v="3"/>
    <x v="3"/>
    <n v="3"/>
    <n v="1560.43"/>
    <n v="0.05"/>
    <n v="4447.2299999999996"/>
    <n v="3636.25"/>
    <n v="810.98"/>
    <s v="Retail"/>
  </r>
  <r>
    <x v="58"/>
    <x v="54"/>
    <x v="0"/>
    <s v="Bhubaneswar"/>
    <x v="3"/>
    <x v="3"/>
    <n v="4"/>
    <n v="1551.25"/>
    <n v="0"/>
    <n v="6205"/>
    <n v="3805.61"/>
    <n v="2399.39"/>
    <s v="Retail"/>
  </r>
  <r>
    <x v="59"/>
    <x v="55"/>
    <x v="2"/>
    <s v="Chennai"/>
    <x v="4"/>
    <x v="3"/>
    <n v="2"/>
    <n v="441.58"/>
    <n v="0"/>
    <n v="883.16"/>
    <n v="522.16999999999996"/>
    <n v="360.99"/>
    <s v="Online"/>
  </r>
  <r>
    <x v="60"/>
    <x v="56"/>
    <x v="0"/>
    <s v="Patna"/>
    <x v="2"/>
    <x v="2"/>
    <n v="7"/>
    <n v="118.38"/>
    <n v="0.1"/>
    <n v="745.79"/>
    <n v="502.04"/>
    <n v="243.75"/>
    <s v="Retail"/>
  </r>
  <r>
    <x v="61"/>
    <x v="27"/>
    <x v="3"/>
    <s v="Pune"/>
    <x v="9"/>
    <x v="0"/>
    <n v="1"/>
    <n v="13385.48"/>
    <n v="0"/>
    <n v="13385.48"/>
    <n v="8441.2199999999993"/>
    <n v="4944.26"/>
    <s v="Retail"/>
  </r>
  <r>
    <x v="62"/>
    <x v="57"/>
    <x v="3"/>
    <s v="Mumbai"/>
    <x v="4"/>
    <x v="3"/>
    <n v="4"/>
    <n v="445.38"/>
    <n v="0.05"/>
    <n v="1692.44"/>
    <n v="993.8"/>
    <n v="698.64"/>
    <s v="Retail"/>
  </r>
  <r>
    <x v="63"/>
    <x v="58"/>
    <x v="3"/>
    <s v="Mumbai"/>
    <x v="2"/>
    <x v="2"/>
    <n v="3"/>
    <n v="120.66"/>
    <n v="0.15"/>
    <n v="307.68"/>
    <n v="287.73"/>
    <n v="19.95"/>
    <s v="Distributor"/>
  </r>
  <r>
    <x v="64"/>
    <x v="59"/>
    <x v="3"/>
    <s v="Mumbai"/>
    <x v="7"/>
    <x v="0"/>
    <n v="2"/>
    <n v="52199.22"/>
    <n v="0.1"/>
    <n v="93958.6"/>
    <n v="64752.32"/>
    <n v="29206.28"/>
    <s v="Retail"/>
  </r>
  <r>
    <x v="65"/>
    <x v="18"/>
    <x v="0"/>
    <s v="Bhubaneswar"/>
    <x v="3"/>
    <x v="3"/>
    <n v="6"/>
    <n v="1560.48"/>
    <n v="0.05"/>
    <n v="8894.74"/>
    <n v="7252.67"/>
    <n v="1642.07"/>
    <s v="Retail"/>
  </r>
  <r>
    <x v="66"/>
    <x v="60"/>
    <x v="1"/>
    <s v="Jaipur"/>
    <x v="3"/>
    <x v="3"/>
    <n v="1"/>
    <n v="1536.03"/>
    <n v="0"/>
    <n v="1536.03"/>
    <n v="1168.82"/>
    <n v="367.21"/>
    <s v="Distributor"/>
  </r>
  <r>
    <x v="67"/>
    <x v="61"/>
    <x v="2"/>
    <s v="Chennai"/>
    <x v="7"/>
    <x v="0"/>
    <n v="4"/>
    <n v="51940.959999999999"/>
    <n v="0.15"/>
    <n v="176599.26"/>
    <n v="121350.63"/>
    <n v="55248.63"/>
    <s v="Distributor"/>
  </r>
  <r>
    <x v="68"/>
    <x v="62"/>
    <x v="3"/>
    <s v="Ahmedabad"/>
    <x v="9"/>
    <x v="0"/>
    <n v="4"/>
    <n v="13033.8"/>
    <n v="0.05"/>
    <n v="49528.44"/>
    <n v="31036.240000000002"/>
    <n v="18492.2"/>
    <s v="Distributor"/>
  </r>
  <r>
    <x v="69"/>
    <x v="62"/>
    <x v="1"/>
    <s v="Chandigarh"/>
    <x v="6"/>
    <x v="0"/>
    <n v="5"/>
    <n v="23509.68"/>
    <n v="0"/>
    <n v="117548.4"/>
    <n v="82926.3"/>
    <n v="34622.1"/>
    <s v="Retail"/>
  </r>
  <r>
    <x v="70"/>
    <x v="63"/>
    <x v="2"/>
    <s v="Chennai"/>
    <x v="1"/>
    <x v="1"/>
    <n v="2"/>
    <n v="6864.3"/>
    <n v="0.05"/>
    <n v="13042.17"/>
    <n v="9776.2900000000009"/>
    <n v="3265.88"/>
    <s v="Online"/>
  </r>
  <r>
    <x v="71"/>
    <x v="64"/>
    <x v="3"/>
    <s v="Ahmedabad"/>
    <x v="7"/>
    <x v="0"/>
    <n v="6"/>
    <n v="51206.82"/>
    <n v="0.05"/>
    <n v="291878.87"/>
    <n v="222699.49"/>
    <n v="69179.38"/>
    <s v="Online"/>
  </r>
  <r>
    <x v="72"/>
    <x v="46"/>
    <x v="3"/>
    <s v="Pune"/>
    <x v="3"/>
    <x v="3"/>
    <n v="2"/>
    <n v="1549.75"/>
    <n v="0.1"/>
    <n v="2789.55"/>
    <n v="2069.17"/>
    <n v="720.38"/>
    <s v="Distributor"/>
  </r>
  <r>
    <x v="73"/>
    <x v="65"/>
    <x v="3"/>
    <s v="Pune"/>
    <x v="5"/>
    <x v="1"/>
    <n v="8"/>
    <n v="8666.49"/>
    <n v="0.15"/>
    <n v="58932.13"/>
    <n v="54076.3"/>
    <n v="4855.83"/>
    <s v="Online"/>
  </r>
  <r>
    <x v="74"/>
    <x v="7"/>
    <x v="3"/>
    <s v="Ahmedabad"/>
    <x v="3"/>
    <x v="3"/>
    <n v="4"/>
    <n v="1540.37"/>
    <n v="0.15"/>
    <n v="5237.26"/>
    <n v="3948.44"/>
    <n v="1288.82"/>
    <s v="Retail"/>
  </r>
  <r>
    <x v="75"/>
    <x v="66"/>
    <x v="2"/>
    <s v="Bengaluru"/>
    <x v="6"/>
    <x v="0"/>
    <n v="8"/>
    <n v="21437.99"/>
    <n v="0.05"/>
    <n v="162928.72"/>
    <n v="135091.29999999999"/>
    <n v="27837.42"/>
    <s v="Distributor"/>
  </r>
  <r>
    <x v="76"/>
    <x v="67"/>
    <x v="2"/>
    <s v="Chennai"/>
    <x v="4"/>
    <x v="3"/>
    <n v="1"/>
    <n v="465.85"/>
    <n v="0"/>
    <n v="465.85"/>
    <n v="317.67"/>
    <n v="148.18"/>
    <s v="Online"/>
  </r>
  <r>
    <x v="77"/>
    <x v="68"/>
    <x v="3"/>
    <s v="Mumbai"/>
    <x v="3"/>
    <x v="3"/>
    <n v="8"/>
    <n v="1450.62"/>
    <n v="0"/>
    <n v="11604.96"/>
    <n v="7649.85"/>
    <n v="3955.11"/>
    <s v="Online"/>
  </r>
  <r>
    <x v="78"/>
    <x v="69"/>
    <x v="3"/>
    <s v="Ahmedabad"/>
    <x v="9"/>
    <x v="0"/>
    <n v="6"/>
    <n v="12187.51"/>
    <n v="0.15"/>
    <n v="62156.3"/>
    <n v="59896.04"/>
    <n v="2260.2600000000002"/>
    <s v="Distributor"/>
  </r>
  <r>
    <x v="79"/>
    <x v="42"/>
    <x v="0"/>
    <s v="Bhubaneswar"/>
    <x v="8"/>
    <x v="2"/>
    <n v="8"/>
    <n v="76.55"/>
    <n v="0.05"/>
    <n v="581.78"/>
    <n v="456.08"/>
    <n v="125.7"/>
    <s v="Retail"/>
  </r>
  <r>
    <x v="80"/>
    <x v="70"/>
    <x v="2"/>
    <s v="Chennai"/>
    <x v="4"/>
    <x v="3"/>
    <n v="3"/>
    <n v="433.91"/>
    <n v="0.1"/>
    <n v="1171.56"/>
    <n v="923.17"/>
    <n v="248.39"/>
    <s v="Distributor"/>
  </r>
  <r>
    <x v="81"/>
    <x v="43"/>
    <x v="2"/>
    <s v="Bengaluru"/>
    <x v="5"/>
    <x v="1"/>
    <n v="2"/>
    <n v="8799.67"/>
    <n v="0"/>
    <n v="17599.34"/>
    <n v="11115.96"/>
    <n v="6483.38"/>
    <s v="Distributor"/>
  </r>
  <r>
    <x v="82"/>
    <x v="71"/>
    <x v="1"/>
    <s v="Delhi"/>
    <x v="6"/>
    <x v="0"/>
    <n v="5"/>
    <n v="21268.32"/>
    <n v="0.15"/>
    <n v="90390.36"/>
    <n v="85594.8"/>
    <n v="4795.5600000000004"/>
    <s v="Distributor"/>
  </r>
  <r>
    <x v="83"/>
    <x v="72"/>
    <x v="0"/>
    <s v="Bhubaneswar"/>
    <x v="0"/>
    <x v="0"/>
    <n v="1"/>
    <n v="1782.86"/>
    <n v="0.1"/>
    <n v="1604.57"/>
    <n v="1069.32"/>
    <n v="535.25"/>
    <s v="Online"/>
  </r>
  <r>
    <x v="84"/>
    <x v="73"/>
    <x v="1"/>
    <s v="Jaipur"/>
    <x v="3"/>
    <x v="3"/>
    <n v="2"/>
    <n v="1397.78"/>
    <n v="0.1"/>
    <n v="2516"/>
    <n v="2012.66"/>
    <n v="503.34"/>
    <s v="Online"/>
  </r>
  <r>
    <x v="85"/>
    <x v="74"/>
    <x v="1"/>
    <s v="Delhi"/>
    <x v="6"/>
    <x v="0"/>
    <n v="5"/>
    <n v="22204.42"/>
    <n v="0"/>
    <n v="111022.1"/>
    <n v="73537.37"/>
    <n v="37484.730000000003"/>
    <s v="Distributor"/>
  </r>
  <r>
    <x v="86"/>
    <x v="75"/>
    <x v="3"/>
    <s v="Pune"/>
    <x v="1"/>
    <x v="1"/>
    <n v="7"/>
    <n v="6874.57"/>
    <n v="0.05"/>
    <n v="45715.89"/>
    <n v="39330.51"/>
    <n v="6385.38"/>
    <s v="Retail"/>
  </r>
  <r>
    <x v="87"/>
    <x v="76"/>
    <x v="1"/>
    <s v="Delhi"/>
    <x v="9"/>
    <x v="0"/>
    <n v="1"/>
    <n v="12029.29"/>
    <n v="0"/>
    <n v="12029.29"/>
    <n v="6879.8"/>
    <n v="5149.49"/>
    <s v="Online"/>
  </r>
  <r>
    <x v="88"/>
    <x v="77"/>
    <x v="2"/>
    <s v="Chennai"/>
    <x v="4"/>
    <x v="3"/>
    <n v="2"/>
    <n v="446.44"/>
    <n v="0.1"/>
    <n v="803.59"/>
    <n v="634.24"/>
    <n v="169.35"/>
    <s v="Retail"/>
  </r>
  <r>
    <x v="89"/>
    <x v="78"/>
    <x v="0"/>
    <s v="Patna"/>
    <x v="1"/>
    <x v="1"/>
    <n v="5"/>
    <n v="6054.03"/>
    <n v="0.1"/>
    <n v="27243.13"/>
    <n v="18556.34"/>
    <n v="8686.7900000000009"/>
    <s v="Retail"/>
  </r>
  <r>
    <x v="90"/>
    <x v="79"/>
    <x v="3"/>
    <s v="Mumbai"/>
    <x v="9"/>
    <x v="0"/>
    <n v="4"/>
    <n v="11949.62"/>
    <n v="0.15"/>
    <n v="40628.71"/>
    <n v="28211.96"/>
    <n v="12416.75"/>
    <s v="Retail"/>
  </r>
  <r>
    <x v="91"/>
    <x v="80"/>
    <x v="2"/>
    <s v="Bengaluru"/>
    <x v="0"/>
    <x v="0"/>
    <n v="1"/>
    <n v="1871.7"/>
    <n v="0.15"/>
    <n v="1590.94"/>
    <n v="1317.09"/>
    <n v="273.85000000000002"/>
    <s v="Retail"/>
  </r>
  <r>
    <x v="92"/>
    <x v="34"/>
    <x v="0"/>
    <s v="Patna"/>
    <x v="0"/>
    <x v="0"/>
    <n v="8"/>
    <n v="1927.49"/>
    <n v="0.1"/>
    <n v="13877.93"/>
    <n v="10564.61"/>
    <n v="3313.32"/>
    <s v="Retail"/>
  </r>
  <r>
    <x v="93"/>
    <x v="34"/>
    <x v="3"/>
    <s v="Ahmedabad"/>
    <x v="0"/>
    <x v="0"/>
    <n v="1"/>
    <n v="1829.87"/>
    <n v="0.05"/>
    <n v="1738.38"/>
    <n v="1019.21"/>
    <n v="719.17"/>
    <s v="Online"/>
  </r>
  <r>
    <x v="94"/>
    <x v="81"/>
    <x v="0"/>
    <s v="Patna"/>
    <x v="9"/>
    <x v="0"/>
    <n v="1"/>
    <n v="13026.22"/>
    <n v="0"/>
    <n v="13026.22"/>
    <n v="7780.58"/>
    <n v="5245.64"/>
    <s v="Distributor"/>
  </r>
  <r>
    <x v="95"/>
    <x v="82"/>
    <x v="2"/>
    <s v="Hyderabad"/>
    <x v="3"/>
    <x v="3"/>
    <n v="5"/>
    <n v="1532.35"/>
    <n v="0.1"/>
    <n v="6895.57"/>
    <n v="5231.18"/>
    <n v="1664.39"/>
    <s v="Online"/>
  </r>
  <r>
    <x v="96"/>
    <x v="83"/>
    <x v="0"/>
    <s v="Bhubaneswar"/>
    <x v="8"/>
    <x v="2"/>
    <n v="7"/>
    <n v="84.58"/>
    <n v="0"/>
    <n v="592.05999999999995"/>
    <n v="378.35"/>
    <n v="213.71"/>
    <s v="Distributor"/>
  </r>
  <r>
    <x v="97"/>
    <x v="84"/>
    <x v="1"/>
    <s v="Jaipur"/>
    <x v="5"/>
    <x v="1"/>
    <n v="7"/>
    <n v="8732.9"/>
    <n v="0"/>
    <n v="61130.3"/>
    <n v="38957.360000000001"/>
    <n v="22172.94"/>
    <s v="Retail"/>
  </r>
  <r>
    <x v="98"/>
    <x v="85"/>
    <x v="3"/>
    <s v="Mumbai"/>
    <x v="7"/>
    <x v="0"/>
    <n v="8"/>
    <n v="55162.27"/>
    <n v="0"/>
    <n v="441298.16"/>
    <n v="316901.13"/>
    <n v="124397.03"/>
    <s v="Retail"/>
  </r>
  <r>
    <x v="99"/>
    <x v="79"/>
    <x v="2"/>
    <s v="Bengaluru"/>
    <x v="3"/>
    <x v="3"/>
    <n v="1"/>
    <n v="1411.44"/>
    <n v="0.15"/>
    <n v="1199.72"/>
    <n v="886.06"/>
    <n v="313.66000000000003"/>
    <s v="Distributor"/>
  </r>
  <r>
    <x v="100"/>
    <x v="21"/>
    <x v="2"/>
    <s v="Hyderabad"/>
    <x v="0"/>
    <x v="0"/>
    <n v="1"/>
    <n v="1745.5"/>
    <n v="0"/>
    <n v="1745.5"/>
    <n v="966.47"/>
    <n v="779.03"/>
    <s v="Retail"/>
  </r>
  <r>
    <x v="101"/>
    <x v="86"/>
    <x v="3"/>
    <s v="Mumbai"/>
    <x v="1"/>
    <x v="1"/>
    <n v="2"/>
    <n v="6498.31"/>
    <n v="0"/>
    <n v="12996.62"/>
    <n v="9662.76"/>
    <n v="3333.86"/>
    <s v="Distributor"/>
  </r>
  <r>
    <x v="102"/>
    <x v="87"/>
    <x v="3"/>
    <s v="Pune"/>
    <x v="5"/>
    <x v="1"/>
    <n v="7"/>
    <n v="8937.77"/>
    <n v="0"/>
    <n v="62564.39"/>
    <n v="36853.760000000002"/>
    <n v="25710.63"/>
    <s v="Online"/>
  </r>
  <r>
    <x v="103"/>
    <x v="88"/>
    <x v="1"/>
    <s v="Jaipur"/>
    <x v="4"/>
    <x v="3"/>
    <n v="3"/>
    <n v="438.47"/>
    <n v="0.1"/>
    <n v="1183.8699999999999"/>
    <n v="1003.24"/>
    <n v="180.63"/>
    <s v="Retail"/>
  </r>
  <r>
    <x v="104"/>
    <x v="15"/>
    <x v="3"/>
    <s v="Mumbai"/>
    <x v="5"/>
    <x v="1"/>
    <n v="5"/>
    <n v="9055.56"/>
    <n v="0.1"/>
    <n v="40750.019999999997"/>
    <n v="29121.93"/>
    <n v="11628.09"/>
    <s v="Distributor"/>
  </r>
  <r>
    <x v="105"/>
    <x v="89"/>
    <x v="0"/>
    <s v="Kolkata"/>
    <x v="2"/>
    <x v="2"/>
    <n v="8"/>
    <n v="121.38"/>
    <n v="0"/>
    <n v="971.04"/>
    <n v="595.30999999999995"/>
    <n v="375.73"/>
    <s v="Retail"/>
  </r>
  <r>
    <x v="106"/>
    <x v="90"/>
    <x v="3"/>
    <s v="Pune"/>
    <x v="8"/>
    <x v="2"/>
    <n v="8"/>
    <n v="79.94"/>
    <n v="0"/>
    <n v="639.52"/>
    <n v="358.13"/>
    <n v="281.39"/>
    <s v="Distributor"/>
  </r>
  <r>
    <x v="107"/>
    <x v="91"/>
    <x v="3"/>
    <s v="Mumbai"/>
    <x v="8"/>
    <x v="2"/>
    <n v="2"/>
    <n v="85.25"/>
    <n v="0.15"/>
    <n v="144.91999999999999"/>
    <n v="94.48"/>
    <n v="50.44"/>
    <s v="Online"/>
  </r>
  <r>
    <x v="108"/>
    <x v="92"/>
    <x v="3"/>
    <s v="Pune"/>
    <x v="6"/>
    <x v="0"/>
    <n v="2"/>
    <n v="22433.87"/>
    <n v="0.05"/>
    <n v="42624.35"/>
    <n v="29492.49"/>
    <n v="13131.86"/>
    <s v="Online"/>
  </r>
  <r>
    <x v="109"/>
    <x v="41"/>
    <x v="0"/>
    <s v="Patna"/>
    <x v="4"/>
    <x v="3"/>
    <n v="7"/>
    <n v="476.81"/>
    <n v="0.1"/>
    <n v="3003.9"/>
    <n v="1868.07"/>
    <n v="1135.83"/>
    <s v="Online"/>
  </r>
  <r>
    <x v="110"/>
    <x v="93"/>
    <x v="1"/>
    <s v="Jaipur"/>
    <x v="5"/>
    <x v="1"/>
    <n v="4"/>
    <n v="9374.93"/>
    <n v="0"/>
    <n v="37499.72"/>
    <n v="27751.69"/>
    <n v="9748.0300000000007"/>
    <s v="Online"/>
  </r>
  <r>
    <x v="111"/>
    <x v="94"/>
    <x v="1"/>
    <s v="Delhi"/>
    <x v="6"/>
    <x v="0"/>
    <n v="5"/>
    <n v="23042.42"/>
    <n v="0.05"/>
    <n v="109451.49"/>
    <n v="72492.52"/>
    <n v="36958.97"/>
    <s v="Retail"/>
  </r>
  <r>
    <x v="112"/>
    <x v="47"/>
    <x v="3"/>
    <s v="Ahmedabad"/>
    <x v="6"/>
    <x v="0"/>
    <n v="4"/>
    <n v="20838.34"/>
    <n v="0"/>
    <n v="83353.36"/>
    <n v="47621.56"/>
    <n v="35731.800000000003"/>
    <s v="Retail"/>
  </r>
  <r>
    <x v="113"/>
    <x v="95"/>
    <x v="2"/>
    <s v="Chennai"/>
    <x v="1"/>
    <x v="1"/>
    <n v="8"/>
    <n v="6643.42"/>
    <n v="0.1"/>
    <n v="47832.62"/>
    <n v="35825.79"/>
    <n v="12006.83"/>
    <s v="Distributor"/>
  </r>
  <r>
    <x v="114"/>
    <x v="96"/>
    <x v="2"/>
    <s v="Chennai"/>
    <x v="3"/>
    <x v="3"/>
    <n v="5"/>
    <n v="1606.86"/>
    <n v="0.1"/>
    <n v="7230.87"/>
    <n v="6561.34"/>
    <n v="669.53"/>
    <s v="Retail"/>
  </r>
  <r>
    <x v="115"/>
    <x v="0"/>
    <x v="3"/>
    <s v="Pune"/>
    <x v="2"/>
    <x v="2"/>
    <n v="5"/>
    <n v="129.59"/>
    <n v="0"/>
    <n v="647.95000000000005"/>
    <n v="505.66"/>
    <n v="142.29"/>
    <s v="Online"/>
  </r>
  <r>
    <x v="116"/>
    <x v="97"/>
    <x v="0"/>
    <s v="Patna"/>
    <x v="2"/>
    <x v="2"/>
    <n v="6"/>
    <n v="110.82"/>
    <n v="0.05"/>
    <n v="631.66999999999996"/>
    <n v="514.72"/>
    <n v="116.95"/>
    <s v="Retail"/>
  </r>
  <r>
    <x v="117"/>
    <x v="98"/>
    <x v="3"/>
    <s v="Pune"/>
    <x v="7"/>
    <x v="0"/>
    <n v="1"/>
    <n v="55942.17"/>
    <n v="0"/>
    <n v="55942.17"/>
    <n v="36089.79"/>
    <n v="19852.38"/>
    <s v="Distributor"/>
  </r>
  <r>
    <x v="118"/>
    <x v="24"/>
    <x v="2"/>
    <s v="Hyderabad"/>
    <x v="9"/>
    <x v="0"/>
    <n v="5"/>
    <n v="13306.81"/>
    <n v="0"/>
    <n v="66534.05"/>
    <n v="48204.72"/>
    <n v="18329.330000000002"/>
    <s v="Retail"/>
  </r>
  <r>
    <x v="119"/>
    <x v="99"/>
    <x v="2"/>
    <s v="Chennai"/>
    <x v="7"/>
    <x v="0"/>
    <n v="6"/>
    <n v="53475.13"/>
    <n v="0.05"/>
    <n v="304808.24"/>
    <n v="212462.84"/>
    <n v="92345.4"/>
    <s v="Online"/>
  </r>
  <r>
    <x v="120"/>
    <x v="100"/>
    <x v="0"/>
    <s v="Kolkata"/>
    <x v="4"/>
    <x v="3"/>
    <n v="6"/>
    <n v="479.81"/>
    <n v="0.05"/>
    <n v="2734.92"/>
    <n v="2317.2800000000002"/>
    <n v="417.64"/>
    <s v="Retail"/>
  </r>
  <r>
    <x v="121"/>
    <x v="101"/>
    <x v="1"/>
    <s v="Delhi"/>
    <x v="0"/>
    <x v="0"/>
    <n v="8"/>
    <n v="1903.72"/>
    <n v="0"/>
    <n v="15229.76"/>
    <n v="11354.37"/>
    <n v="3875.39"/>
    <s v="Retail"/>
  </r>
  <r>
    <x v="122"/>
    <x v="102"/>
    <x v="3"/>
    <s v="Mumbai"/>
    <x v="8"/>
    <x v="2"/>
    <n v="2"/>
    <n v="80.47"/>
    <n v="0.05"/>
    <n v="152.88999999999999"/>
    <n v="108.28"/>
    <n v="44.61"/>
    <s v="Distributor"/>
  </r>
  <r>
    <x v="123"/>
    <x v="103"/>
    <x v="0"/>
    <s v="Kolkata"/>
    <x v="5"/>
    <x v="1"/>
    <n v="7"/>
    <n v="8958.93"/>
    <n v="0"/>
    <n v="62712.51"/>
    <n v="44982.28"/>
    <n v="17730.23"/>
    <s v="Distributor"/>
  </r>
  <r>
    <x v="124"/>
    <x v="104"/>
    <x v="1"/>
    <s v="Chandigarh"/>
    <x v="9"/>
    <x v="0"/>
    <n v="4"/>
    <n v="13318.78"/>
    <n v="0.1"/>
    <n v="47947.61"/>
    <n v="33648.1"/>
    <n v="14299.51"/>
    <s v="Retail"/>
  </r>
  <r>
    <x v="125"/>
    <x v="105"/>
    <x v="1"/>
    <s v="Jaipur"/>
    <x v="6"/>
    <x v="0"/>
    <n v="1"/>
    <n v="20648.740000000002"/>
    <n v="0.1"/>
    <n v="18583.87"/>
    <n v="12665.85"/>
    <n v="5918.02"/>
    <s v="Distributor"/>
  </r>
  <r>
    <x v="126"/>
    <x v="106"/>
    <x v="0"/>
    <s v="Patna"/>
    <x v="2"/>
    <x v="2"/>
    <n v="8"/>
    <n v="118.45"/>
    <n v="0.15"/>
    <n v="805.46"/>
    <n v="711.09"/>
    <n v="94.37"/>
    <s v="Online"/>
  </r>
  <r>
    <x v="127"/>
    <x v="107"/>
    <x v="3"/>
    <s v="Pune"/>
    <x v="0"/>
    <x v="0"/>
    <n v="8"/>
    <n v="1854.8"/>
    <n v="0"/>
    <n v="14838.4"/>
    <n v="9031.58"/>
    <n v="5806.82"/>
    <s v="Retail"/>
  </r>
  <r>
    <x v="128"/>
    <x v="93"/>
    <x v="0"/>
    <s v="Patna"/>
    <x v="8"/>
    <x v="2"/>
    <n v="2"/>
    <n v="74.38"/>
    <n v="0.05"/>
    <n v="141.32"/>
    <n v="92.9"/>
    <n v="48.42"/>
    <s v="Online"/>
  </r>
  <r>
    <x v="129"/>
    <x v="108"/>
    <x v="1"/>
    <s v="Delhi"/>
    <x v="0"/>
    <x v="0"/>
    <n v="4"/>
    <n v="1726.15"/>
    <n v="0.05"/>
    <n v="6559.37"/>
    <n v="4032.28"/>
    <n v="2527.09"/>
    <s v="Distributor"/>
  </r>
  <r>
    <x v="130"/>
    <x v="109"/>
    <x v="2"/>
    <s v="Chennai"/>
    <x v="0"/>
    <x v="0"/>
    <n v="4"/>
    <n v="1879.02"/>
    <n v="0.05"/>
    <n v="7140.28"/>
    <n v="5734.27"/>
    <n v="1406.01"/>
    <s v="Distributor"/>
  </r>
  <r>
    <x v="131"/>
    <x v="15"/>
    <x v="2"/>
    <s v="Hyderabad"/>
    <x v="5"/>
    <x v="1"/>
    <n v="3"/>
    <n v="9429.86"/>
    <n v="0.05"/>
    <n v="26875.1"/>
    <n v="16398.91"/>
    <n v="10476.19"/>
    <s v="Online"/>
  </r>
  <r>
    <x v="132"/>
    <x v="100"/>
    <x v="2"/>
    <s v="Hyderabad"/>
    <x v="7"/>
    <x v="0"/>
    <n v="6"/>
    <n v="50738.87"/>
    <n v="0.05"/>
    <n v="289211.56"/>
    <n v="189250.68"/>
    <n v="99960.88"/>
    <s v="Online"/>
  </r>
  <r>
    <x v="133"/>
    <x v="46"/>
    <x v="1"/>
    <s v="Jaipur"/>
    <x v="4"/>
    <x v="3"/>
    <n v="2"/>
    <n v="470.02"/>
    <n v="0.1"/>
    <n v="846.04"/>
    <n v="647.29"/>
    <n v="198.75"/>
    <s v="Online"/>
  </r>
  <r>
    <x v="134"/>
    <x v="110"/>
    <x v="1"/>
    <s v="Chandigarh"/>
    <x v="4"/>
    <x v="3"/>
    <n v="4"/>
    <n v="435.72"/>
    <n v="0.15"/>
    <n v="1481.45"/>
    <n v="1261.33"/>
    <n v="220.12"/>
    <s v="Online"/>
  </r>
  <r>
    <x v="135"/>
    <x v="111"/>
    <x v="3"/>
    <s v="Ahmedabad"/>
    <x v="3"/>
    <x v="3"/>
    <n v="7"/>
    <n v="1497.66"/>
    <n v="0"/>
    <n v="10483.620000000001"/>
    <n v="8340.9699999999993"/>
    <n v="2142.65"/>
    <s v="Online"/>
  </r>
  <r>
    <x v="136"/>
    <x v="60"/>
    <x v="1"/>
    <s v="Delhi"/>
    <x v="8"/>
    <x v="2"/>
    <n v="3"/>
    <n v="81.59"/>
    <n v="0.05"/>
    <n v="232.53"/>
    <n v="173.31"/>
    <n v="59.22"/>
    <s v="Distributor"/>
  </r>
  <r>
    <x v="137"/>
    <x v="66"/>
    <x v="3"/>
    <s v="Ahmedabad"/>
    <x v="2"/>
    <x v="2"/>
    <n v="5"/>
    <n v="118.66"/>
    <n v="0.15"/>
    <n v="504.3"/>
    <n v="453.36"/>
    <n v="50.94"/>
    <s v="Online"/>
  </r>
  <r>
    <x v="138"/>
    <x v="112"/>
    <x v="3"/>
    <s v="Pune"/>
    <x v="4"/>
    <x v="3"/>
    <n v="4"/>
    <n v="443.79"/>
    <n v="0"/>
    <n v="1775.16"/>
    <n v="1372.91"/>
    <n v="402.25"/>
    <s v="Retail"/>
  </r>
  <r>
    <x v="139"/>
    <x v="107"/>
    <x v="3"/>
    <s v="Pune"/>
    <x v="0"/>
    <x v="0"/>
    <n v="6"/>
    <n v="1763.8"/>
    <n v="0.05"/>
    <n v="10053.66"/>
    <n v="6256.68"/>
    <n v="3796.98"/>
    <s v="Retail"/>
  </r>
  <r>
    <x v="140"/>
    <x v="113"/>
    <x v="1"/>
    <s v="Jaipur"/>
    <x v="0"/>
    <x v="0"/>
    <n v="2"/>
    <n v="1870.44"/>
    <n v="0"/>
    <n v="3740.88"/>
    <n v="2433.87"/>
    <n v="1307.01"/>
    <s v="Online"/>
  </r>
  <r>
    <x v="141"/>
    <x v="114"/>
    <x v="1"/>
    <s v="Jaipur"/>
    <x v="7"/>
    <x v="0"/>
    <n v="6"/>
    <n v="58287.74"/>
    <n v="0.05"/>
    <n v="332240.12"/>
    <n v="281216.8"/>
    <n v="51023.32"/>
    <s v="Retail"/>
  </r>
  <r>
    <x v="142"/>
    <x v="115"/>
    <x v="0"/>
    <s v="Kolkata"/>
    <x v="5"/>
    <x v="1"/>
    <n v="5"/>
    <n v="9010.67"/>
    <n v="0.15"/>
    <n v="38295.35"/>
    <n v="26661.54"/>
    <n v="11633.81"/>
    <s v="Retail"/>
  </r>
  <r>
    <x v="143"/>
    <x v="116"/>
    <x v="0"/>
    <s v="Kolkata"/>
    <x v="0"/>
    <x v="0"/>
    <n v="6"/>
    <n v="1821.34"/>
    <n v="0.05"/>
    <n v="10381.64"/>
    <n v="8392.19"/>
    <n v="1989.45"/>
    <s v="Distributor"/>
  </r>
  <r>
    <x v="144"/>
    <x v="117"/>
    <x v="0"/>
    <s v="Kolkata"/>
    <x v="9"/>
    <x v="0"/>
    <n v="1"/>
    <n v="12046.54"/>
    <n v="0"/>
    <n v="12046.54"/>
    <n v="9105.3799999999992"/>
    <n v="2941.16"/>
    <s v="Retail"/>
  </r>
  <r>
    <x v="145"/>
    <x v="118"/>
    <x v="2"/>
    <s v="Hyderabad"/>
    <x v="7"/>
    <x v="0"/>
    <n v="3"/>
    <n v="51212.35"/>
    <n v="0.1"/>
    <n v="138273.35"/>
    <n v="115237.26"/>
    <n v="23036.09"/>
    <s v="Online"/>
  </r>
  <r>
    <x v="146"/>
    <x v="119"/>
    <x v="3"/>
    <s v="Pune"/>
    <x v="4"/>
    <x v="3"/>
    <n v="4"/>
    <n v="438.54"/>
    <n v="0.1"/>
    <n v="1578.74"/>
    <n v="1140.05"/>
    <n v="438.69"/>
    <s v="Distributor"/>
  </r>
  <r>
    <x v="147"/>
    <x v="66"/>
    <x v="1"/>
    <s v="Delhi"/>
    <x v="9"/>
    <x v="0"/>
    <n v="2"/>
    <n v="13008.87"/>
    <n v="0"/>
    <n v="26017.74"/>
    <n v="14659.33"/>
    <n v="11358.41"/>
    <s v="Online"/>
  </r>
  <r>
    <x v="148"/>
    <x v="120"/>
    <x v="3"/>
    <s v="Ahmedabad"/>
    <x v="3"/>
    <x v="3"/>
    <n v="7"/>
    <n v="1479.4"/>
    <n v="0.1"/>
    <n v="9320.2199999999993"/>
    <n v="6298.44"/>
    <n v="3021.78"/>
    <s v="Distributor"/>
  </r>
  <r>
    <x v="149"/>
    <x v="62"/>
    <x v="1"/>
    <s v="Jaipur"/>
    <x v="8"/>
    <x v="2"/>
    <n v="7"/>
    <n v="79.83"/>
    <n v="0.15"/>
    <n v="474.99"/>
    <n v="408"/>
    <n v="66.989999999999995"/>
    <s v="On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F7A22-DEC3-41B1-B711-093BFE02BC6D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152" firstHeaderRow="0" firstDataRow="1" firstDataCol="1"/>
  <pivotFields count="15">
    <pivotField axis="axisRow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umFmtId="165" showAll="0">
      <items count="122">
        <item x="15"/>
        <item x="96"/>
        <item x="78"/>
        <item x="61"/>
        <item x="90"/>
        <item x="115"/>
        <item x="111"/>
        <item x="56"/>
        <item x="113"/>
        <item x="20"/>
        <item x="60"/>
        <item x="119"/>
        <item x="86"/>
        <item x="51"/>
        <item x="37"/>
        <item x="62"/>
        <item x="105"/>
        <item x="70"/>
        <item x="5"/>
        <item x="100"/>
        <item x="106"/>
        <item x="80"/>
        <item x="11"/>
        <item x="49"/>
        <item x="74"/>
        <item x="13"/>
        <item x="26"/>
        <item x="48"/>
        <item x="77"/>
        <item x="24"/>
        <item x="109"/>
        <item x="18"/>
        <item x="40"/>
        <item x="116"/>
        <item x="93"/>
        <item x="97"/>
        <item x="19"/>
        <item x="73"/>
        <item x="35"/>
        <item x="10"/>
        <item x="120"/>
        <item x="98"/>
        <item x="67"/>
        <item x="7"/>
        <item x="28"/>
        <item x="45"/>
        <item x="69"/>
        <item x="16"/>
        <item x="31"/>
        <item x="55"/>
        <item x="66"/>
        <item x="104"/>
        <item x="41"/>
        <item x="42"/>
        <item x="39"/>
        <item x="101"/>
        <item x="118"/>
        <item x="4"/>
        <item x="27"/>
        <item x="63"/>
        <item x="30"/>
        <item x="38"/>
        <item x="92"/>
        <item x="107"/>
        <item x="57"/>
        <item x="46"/>
        <item x="47"/>
        <item x="34"/>
        <item x="99"/>
        <item x="25"/>
        <item x="94"/>
        <item x="110"/>
        <item x="108"/>
        <item x="52"/>
        <item x="32"/>
        <item x="83"/>
        <item x="21"/>
        <item x="72"/>
        <item x="84"/>
        <item x="85"/>
        <item x="54"/>
        <item x="65"/>
        <item x="29"/>
        <item x="17"/>
        <item x="71"/>
        <item x="33"/>
        <item x="89"/>
        <item x="1"/>
        <item x="53"/>
        <item x="14"/>
        <item x="114"/>
        <item x="102"/>
        <item x="2"/>
        <item x="59"/>
        <item x="64"/>
        <item x="76"/>
        <item x="12"/>
        <item x="91"/>
        <item x="43"/>
        <item x="88"/>
        <item x="75"/>
        <item x="95"/>
        <item x="117"/>
        <item x="79"/>
        <item x="50"/>
        <item x="0"/>
        <item x="23"/>
        <item x="8"/>
        <item x="82"/>
        <item x="112"/>
        <item x="22"/>
        <item x="58"/>
        <item x="44"/>
        <item x="103"/>
        <item x="81"/>
        <item x="36"/>
        <item x="9"/>
        <item x="68"/>
        <item x="3"/>
        <item x="6"/>
        <item x="87"/>
        <item t="default"/>
      </items>
    </pivotField>
    <pivotField showAll="0"/>
    <pivotField showAll="0"/>
    <pivotField showAll="0"/>
    <pivotField showAll="0"/>
    <pivotField dataField="1" showAll="0"/>
    <pivotField numFmtId="166" showAll="0"/>
    <pivotField numFmtId="9" showAll="0"/>
    <pivotField dataField="1" numFmtId="166" showAll="0"/>
    <pivotField numFmtId="166" showAll="0"/>
    <pivotField dataField="1" numFmtId="166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166"/>
    <dataField name="Sum of Profit" fld="11" baseField="0" baseItem="0" numFmtId="166"/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D7E28-033D-40DC-860A-FDE8AFF8AEB9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7" firstHeaderRow="1" firstDataRow="1" firstDataCol="1"/>
  <pivotFields count="15">
    <pivotField showAll="0"/>
    <pivotField numFmtId="165" showAll="0">
      <items count="122">
        <item x="15"/>
        <item x="96"/>
        <item x="78"/>
        <item x="61"/>
        <item x="90"/>
        <item x="115"/>
        <item x="111"/>
        <item x="56"/>
        <item x="113"/>
        <item x="20"/>
        <item x="60"/>
        <item x="119"/>
        <item x="86"/>
        <item x="51"/>
        <item x="37"/>
        <item x="62"/>
        <item x="105"/>
        <item x="70"/>
        <item x="5"/>
        <item x="100"/>
        <item x="106"/>
        <item x="80"/>
        <item x="11"/>
        <item x="49"/>
        <item x="74"/>
        <item x="13"/>
        <item x="26"/>
        <item x="48"/>
        <item x="77"/>
        <item x="24"/>
        <item x="109"/>
        <item x="18"/>
        <item x="40"/>
        <item x="116"/>
        <item x="93"/>
        <item x="97"/>
        <item x="19"/>
        <item x="73"/>
        <item x="35"/>
        <item x="10"/>
        <item x="120"/>
        <item x="98"/>
        <item x="67"/>
        <item x="7"/>
        <item x="28"/>
        <item x="45"/>
        <item x="69"/>
        <item x="16"/>
        <item x="31"/>
        <item x="55"/>
        <item x="66"/>
        <item x="104"/>
        <item x="41"/>
        <item x="42"/>
        <item x="39"/>
        <item x="101"/>
        <item x="118"/>
        <item x="4"/>
        <item x="27"/>
        <item x="63"/>
        <item x="30"/>
        <item x="38"/>
        <item x="92"/>
        <item x="107"/>
        <item x="57"/>
        <item x="46"/>
        <item x="47"/>
        <item x="34"/>
        <item x="99"/>
        <item x="25"/>
        <item x="94"/>
        <item x="110"/>
        <item x="108"/>
        <item x="52"/>
        <item x="32"/>
        <item x="83"/>
        <item x="21"/>
        <item x="72"/>
        <item x="84"/>
        <item x="85"/>
        <item x="54"/>
        <item x="65"/>
        <item x="29"/>
        <item x="17"/>
        <item x="71"/>
        <item x="33"/>
        <item x="89"/>
        <item x="1"/>
        <item x="53"/>
        <item x="14"/>
        <item x="114"/>
        <item x="102"/>
        <item x="2"/>
        <item x="59"/>
        <item x="64"/>
        <item x="76"/>
        <item x="12"/>
        <item x="91"/>
        <item x="43"/>
        <item x="88"/>
        <item x="75"/>
        <item x="95"/>
        <item x="117"/>
        <item x="79"/>
        <item x="50"/>
        <item x="0"/>
        <item x="23"/>
        <item x="8"/>
        <item x="82"/>
        <item x="112"/>
        <item x="22"/>
        <item x="58"/>
        <item x="44"/>
        <item x="103"/>
        <item x="81"/>
        <item x="36"/>
        <item x="9"/>
        <item x="68"/>
        <item x="3"/>
        <item x="6"/>
        <item x="87"/>
        <item t="default"/>
      </items>
    </pivotField>
    <pivotField showAll="0"/>
    <pivotField showAll="0"/>
    <pivotField showAll="0"/>
    <pivotField showAll="0"/>
    <pivotField showAll="0"/>
    <pivotField numFmtId="166" showAll="0"/>
    <pivotField numFmtId="9" showAll="0"/>
    <pivotField dataField="1" numFmtId="166" showAll="0"/>
    <pivotField numFmtId="166" showAll="0"/>
    <pivotField numFmtId="166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4"/>
    <field x="13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9" baseField="0" baseItem="0" numFmtId="166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892C6-5803-4825-B06D-B0F8CFB4D58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5">
    <pivotField showAll="0"/>
    <pivotField numFmtId="165" showAll="0">
      <items count="122">
        <item x="15"/>
        <item x="96"/>
        <item x="78"/>
        <item x="61"/>
        <item x="90"/>
        <item x="115"/>
        <item x="111"/>
        <item x="56"/>
        <item x="113"/>
        <item x="20"/>
        <item x="60"/>
        <item x="119"/>
        <item x="86"/>
        <item x="51"/>
        <item x="37"/>
        <item x="62"/>
        <item x="105"/>
        <item x="70"/>
        <item x="5"/>
        <item x="100"/>
        <item x="106"/>
        <item x="80"/>
        <item x="11"/>
        <item x="49"/>
        <item x="74"/>
        <item x="13"/>
        <item x="26"/>
        <item x="48"/>
        <item x="77"/>
        <item x="24"/>
        <item x="109"/>
        <item x="18"/>
        <item x="40"/>
        <item x="116"/>
        <item x="93"/>
        <item x="97"/>
        <item x="19"/>
        <item x="73"/>
        <item x="35"/>
        <item x="10"/>
        <item x="120"/>
        <item x="98"/>
        <item x="67"/>
        <item x="7"/>
        <item x="28"/>
        <item x="45"/>
        <item x="69"/>
        <item x="16"/>
        <item x="31"/>
        <item x="55"/>
        <item x="66"/>
        <item x="104"/>
        <item x="41"/>
        <item x="42"/>
        <item x="39"/>
        <item x="101"/>
        <item x="118"/>
        <item x="4"/>
        <item x="27"/>
        <item x="63"/>
        <item x="30"/>
        <item x="38"/>
        <item x="92"/>
        <item x="107"/>
        <item x="57"/>
        <item x="46"/>
        <item x="47"/>
        <item x="34"/>
        <item x="99"/>
        <item x="25"/>
        <item x="94"/>
        <item x="110"/>
        <item x="108"/>
        <item x="52"/>
        <item x="32"/>
        <item x="83"/>
        <item x="21"/>
        <item x="72"/>
        <item x="84"/>
        <item x="85"/>
        <item x="54"/>
        <item x="65"/>
        <item x="29"/>
        <item x="17"/>
        <item x="71"/>
        <item x="33"/>
        <item x="89"/>
        <item x="1"/>
        <item x="53"/>
        <item x="14"/>
        <item x="114"/>
        <item x="102"/>
        <item x="2"/>
        <item x="59"/>
        <item x="64"/>
        <item x="76"/>
        <item x="12"/>
        <item x="91"/>
        <item x="43"/>
        <item x="88"/>
        <item x="75"/>
        <item x="95"/>
        <item x="117"/>
        <item x="79"/>
        <item x="50"/>
        <item x="0"/>
        <item x="23"/>
        <item x="8"/>
        <item x="82"/>
        <item x="112"/>
        <item x="22"/>
        <item x="58"/>
        <item x="44"/>
        <item x="103"/>
        <item x="81"/>
        <item x="36"/>
        <item x="9"/>
        <item x="68"/>
        <item x="3"/>
        <item x="6"/>
        <item x="8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166" showAll="0"/>
    <pivotField numFmtId="9" showAll="0"/>
    <pivotField dataField="1" numFmtId="166" showAll="0"/>
    <pivotField numFmtId="166" showAll="0"/>
    <pivotField numFmtId="166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F5069-F661-4775-9F4D-1EF7289A848D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15">
    <pivotField showAll="0"/>
    <pivotField numFmtId="165" showAll="0">
      <items count="122">
        <item x="15"/>
        <item x="96"/>
        <item x="78"/>
        <item x="61"/>
        <item x="90"/>
        <item x="115"/>
        <item x="111"/>
        <item x="56"/>
        <item x="113"/>
        <item x="20"/>
        <item x="60"/>
        <item x="119"/>
        <item x="86"/>
        <item x="51"/>
        <item x="37"/>
        <item x="62"/>
        <item x="105"/>
        <item x="70"/>
        <item x="5"/>
        <item x="100"/>
        <item x="106"/>
        <item x="80"/>
        <item x="11"/>
        <item x="49"/>
        <item x="74"/>
        <item x="13"/>
        <item x="26"/>
        <item x="48"/>
        <item x="77"/>
        <item x="24"/>
        <item x="109"/>
        <item x="18"/>
        <item x="40"/>
        <item x="116"/>
        <item x="93"/>
        <item x="97"/>
        <item x="19"/>
        <item x="73"/>
        <item x="35"/>
        <item x="10"/>
        <item x="120"/>
        <item x="98"/>
        <item x="67"/>
        <item x="7"/>
        <item x="28"/>
        <item x="45"/>
        <item x="69"/>
        <item x="16"/>
        <item x="31"/>
        <item x="55"/>
        <item x="66"/>
        <item x="104"/>
        <item x="41"/>
        <item x="42"/>
        <item x="39"/>
        <item x="101"/>
        <item x="118"/>
        <item x="4"/>
        <item x="27"/>
        <item x="63"/>
        <item x="30"/>
        <item x="38"/>
        <item x="92"/>
        <item x="107"/>
        <item x="57"/>
        <item x="46"/>
        <item x="47"/>
        <item x="34"/>
        <item x="99"/>
        <item x="25"/>
        <item x="94"/>
        <item x="110"/>
        <item x="108"/>
        <item x="52"/>
        <item x="32"/>
        <item x="83"/>
        <item x="21"/>
        <item x="72"/>
        <item x="84"/>
        <item x="85"/>
        <item x="54"/>
        <item x="65"/>
        <item x="29"/>
        <item x="17"/>
        <item x="71"/>
        <item x="33"/>
        <item x="89"/>
        <item x="1"/>
        <item x="53"/>
        <item x="14"/>
        <item x="114"/>
        <item x="102"/>
        <item x="2"/>
        <item x="59"/>
        <item x="64"/>
        <item x="76"/>
        <item x="12"/>
        <item x="91"/>
        <item x="43"/>
        <item x="88"/>
        <item x="75"/>
        <item x="95"/>
        <item x="117"/>
        <item x="79"/>
        <item x="50"/>
        <item x="0"/>
        <item x="23"/>
        <item x="8"/>
        <item x="82"/>
        <item x="112"/>
        <item x="22"/>
        <item x="58"/>
        <item x="44"/>
        <item x="103"/>
        <item x="81"/>
        <item x="36"/>
        <item x="9"/>
        <item x="68"/>
        <item x="3"/>
        <item x="6"/>
        <item x="87"/>
        <item t="default"/>
      </items>
    </pivotField>
    <pivotField showAll="0"/>
    <pivotField showAll="0"/>
    <pivotField axis="axisRow" showAll="0" sortType="descending">
      <items count="11">
        <item x="3"/>
        <item x="5"/>
        <item x="0"/>
        <item x="7"/>
        <item x="9"/>
        <item x="8"/>
        <item x="1"/>
        <item x="2"/>
        <item x="6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numFmtId="9" showAll="0"/>
    <pivotField dataField="1" numFmtId="166" showAll="0"/>
    <pivotField numFmtId="166" showAll="0"/>
    <pivotField numFmtId="166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11">
    <i>
      <x v="3"/>
    </i>
    <i>
      <x v="8"/>
    </i>
    <i>
      <x v="1"/>
    </i>
    <i>
      <x v="4"/>
    </i>
    <i>
      <x v="6"/>
    </i>
    <i>
      <x v="2"/>
    </i>
    <i>
      <x/>
    </i>
    <i>
      <x v="9"/>
    </i>
    <i>
      <x v="7"/>
    </i>
    <i>
      <x v="5"/>
    </i>
    <i t="grand">
      <x/>
    </i>
  </rowItems>
  <colItems count="1">
    <i/>
  </colItems>
  <dataFields count="1">
    <dataField name="Sum of Sales" fld="9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D31F4-5915-4F0F-AD6C-D06FE5E1A5EC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5">
    <pivotField showAll="0"/>
    <pivotField numFmtId="165" showAll="0">
      <items count="122">
        <item x="15"/>
        <item x="96"/>
        <item x="78"/>
        <item x="61"/>
        <item x="90"/>
        <item x="115"/>
        <item x="111"/>
        <item x="56"/>
        <item x="113"/>
        <item x="20"/>
        <item x="60"/>
        <item x="119"/>
        <item x="86"/>
        <item x="51"/>
        <item x="37"/>
        <item x="62"/>
        <item x="105"/>
        <item x="70"/>
        <item x="5"/>
        <item x="100"/>
        <item x="106"/>
        <item x="80"/>
        <item x="11"/>
        <item x="49"/>
        <item x="74"/>
        <item x="13"/>
        <item x="26"/>
        <item x="48"/>
        <item x="77"/>
        <item x="24"/>
        <item x="109"/>
        <item x="18"/>
        <item x="40"/>
        <item x="116"/>
        <item x="93"/>
        <item x="97"/>
        <item x="19"/>
        <item x="73"/>
        <item x="35"/>
        <item x="10"/>
        <item x="120"/>
        <item x="98"/>
        <item x="67"/>
        <item x="7"/>
        <item x="28"/>
        <item x="45"/>
        <item x="69"/>
        <item x="16"/>
        <item x="31"/>
        <item x="55"/>
        <item x="66"/>
        <item x="104"/>
        <item x="41"/>
        <item x="42"/>
        <item x="39"/>
        <item x="101"/>
        <item x="118"/>
        <item x="4"/>
        <item x="27"/>
        <item x="63"/>
        <item x="30"/>
        <item x="38"/>
        <item x="92"/>
        <item x="107"/>
        <item x="57"/>
        <item x="46"/>
        <item x="47"/>
        <item x="34"/>
        <item x="99"/>
        <item x="25"/>
        <item x="94"/>
        <item x="110"/>
        <item x="108"/>
        <item x="52"/>
        <item x="32"/>
        <item x="83"/>
        <item x="21"/>
        <item x="72"/>
        <item x="84"/>
        <item x="85"/>
        <item x="54"/>
        <item x="65"/>
        <item x="29"/>
        <item x="17"/>
        <item x="71"/>
        <item x="33"/>
        <item x="89"/>
        <item x="1"/>
        <item x="53"/>
        <item x="14"/>
        <item x="114"/>
        <item x="102"/>
        <item x="2"/>
        <item x="59"/>
        <item x="64"/>
        <item x="76"/>
        <item x="12"/>
        <item x="91"/>
        <item x="43"/>
        <item x="88"/>
        <item x="75"/>
        <item x="95"/>
        <item x="117"/>
        <item x="79"/>
        <item x="50"/>
        <item x="0"/>
        <item x="23"/>
        <item x="8"/>
        <item x="82"/>
        <item x="112"/>
        <item x="22"/>
        <item x="58"/>
        <item x="44"/>
        <item x="103"/>
        <item x="81"/>
        <item x="36"/>
        <item x="9"/>
        <item x="68"/>
        <item x="3"/>
        <item x="6"/>
        <item x="87"/>
        <item t="default"/>
      </items>
    </pivotField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numFmtId="166" showAll="0"/>
    <pivotField numFmtId="9" showAll="0"/>
    <pivotField dataField="1" numFmtId="166" showAll="0"/>
    <pivotField numFmtId="166" showAll="0"/>
    <pivotField numFmtId="166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 numFmtId="166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8D5A4-1B76-40EC-93A1-4BD3C6E0868F}" name="Table1" displayName="Table1" ref="A1:M151" totalsRowShown="0" headerRowDxfId="0">
  <autoFilter ref="A1:M151" xr:uid="{00000000-0009-0000-0000-000000000000}"/>
  <tableColumns count="13">
    <tableColumn id="1" xr3:uid="{B4D5C6A1-1734-4ED5-AF46-670EE3AAC11D}" name="Order ID"/>
    <tableColumn id="2" xr3:uid="{56CCC8BB-DBA7-4B3E-B53D-F6FD69B702CD}" name="Order Date" dataDxfId="6"/>
    <tableColumn id="3" xr3:uid="{6241D172-288A-4933-8FF1-1C9C83EFE74F}" name="Region"/>
    <tableColumn id="4" xr3:uid="{67B7A566-2D9B-44B0-8A6D-7329D9D574D8}" name="City"/>
    <tableColumn id="5" xr3:uid="{009D3D63-6E1C-4DB6-9EA2-4A6526B8C73E}" name="Product"/>
    <tableColumn id="6" xr3:uid="{C0AA7699-B6D3-4554-A042-A35294786AA6}" name="Category"/>
    <tableColumn id="7" xr3:uid="{F525FA53-726A-4287-BDFE-945A641BAFDA}" name="Quantity"/>
    <tableColumn id="8" xr3:uid="{7031EB84-4680-47E4-A0C5-BF82E457B228}" name="Unit Price" dataDxfId="5"/>
    <tableColumn id="9" xr3:uid="{01F95F53-CD7D-4988-B16B-B43127EF2718}" name="Discount" dataDxfId="4"/>
    <tableColumn id="10" xr3:uid="{502AEB4A-5BC3-4E75-B2C0-2787A3F6F4F8}" name="Sales" dataDxfId="3"/>
    <tableColumn id="11" xr3:uid="{420438AA-D1F7-4789-BA50-EEE493681247}" name="Cost" dataDxfId="2"/>
    <tableColumn id="12" xr3:uid="{22618207-6C93-4BA2-A050-CC271F54873E}" name="Profit" dataDxfId="1"/>
    <tableColumn id="13" xr3:uid="{D8E0CA65-2E87-46E7-90E6-FB77F6C920C6}" name="Sales Chann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51B2-27DD-4688-82F8-6C4B8176200A}">
  <dimension ref="A1:D152"/>
  <sheetViews>
    <sheetView topLeftCell="BX1" zoomScaleNormal="100" workbookViewId="0">
      <selection activeCell="AF3" sqref="AF3"/>
    </sheetView>
  </sheetViews>
  <sheetFormatPr defaultRowHeight="14.4" x14ac:dyDescent="0.3"/>
  <cols>
    <col min="1" max="1" width="12.5546875" bestFit="1" customWidth="1"/>
    <col min="2" max="3" width="12.6640625" bestFit="1" customWidth="1"/>
    <col min="4" max="4" width="14.88671875" bestFit="1" customWidth="1"/>
  </cols>
  <sheetData>
    <row r="1" spans="1:4" x14ac:dyDescent="0.3">
      <c r="A1" s="6" t="s">
        <v>199</v>
      </c>
      <c r="B1" t="s">
        <v>196</v>
      </c>
      <c r="C1" t="s">
        <v>197</v>
      </c>
      <c r="D1" t="s">
        <v>198</v>
      </c>
    </row>
    <row r="2" spans="1:4" x14ac:dyDescent="0.3">
      <c r="A2" s="7" t="s">
        <v>13</v>
      </c>
      <c r="B2" s="3">
        <v>1696.19</v>
      </c>
      <c r="C2" s="3">
        <v>716.35</v>
      </c>
      <c r="D2" s="5">
        <v>1</v>
      </c>
    </row>
    <row r="3" spans="1:4" x14ac:dyDescent="0.3">
      <c r="A3" s="7" t="s">
        <v>19</v>
      </c>
      <c r="B3" s="3">
        <v>12032.79</v>
      </c>
      <c r="C3" s="3">
        <v>3772.93</v>
      </c>
      <c r="D3" s="5">
        <v>7</v>
      </c>
    </row>
    <row r="4" spans="1:4" x14ac:dyDescent="0.3">
      <c r="A4" s="7" t="s">
        <v>23</v>
      </c>
      <c r="B4" s="3">
        <v>37302.449999999997</v>
      </c>
      <c r="C4" s="3">
        <v>2865.22</v>
      </c>
      <c r="D4" s="5">
        <v>7</v>
      </c>
    </row>
    <row r="5" spans="1:4" x14ac:dyDescent="0.3">
      <c r="A5" s="7" t="s">
        <v>28</v>
      </c>
      <c r="B5" s="3">
        <v>772.68</v>
      </c>
      <c r="C5" s="3">
        <v>277.48</v>
      </c>
      <c r="D5" s="5">
        <v>6</v>
      </c>
    </row>
    <row r="6" spans="1:4" x14ac:dyDescent="0.3">
      <c r="A6" s="7" t="s">
        <v>31</v>
      </c>
      <c r="B6" s="3">
        <v>10764.17</v>
      </c>
      <c r="C6" s="3">
        <v>2299.8200000000002</v>
      </c>
      <c r="D6" s="5">
        <v>6</v>
      </c>
    </row>
    <row r="7" spans="1:4" x14ac:dyDescent="0.3">
      <c r="A7" s="7" t="s">
        <v>33</v>
      </c>
      <c r="B7" s="3">
        <v>216.58</v>
      </c>
      <c r="C7" s="3">
        <v>51.56</v>
      </c>
      <c r="D7" s="5">
        <v>2</v>
      </c>
    </row>
    <row r="8" spans="1:4" x14ac:dyDescent="0.3">
      <c r="A8" s="7" t="s">
        <v>34</v>
      </c>
      <c r="B8" s="3">
        <v>1902.33</v>
      </c>
      <c r="C8" s="3">
        <v>411</v>
      </c>
      <c r="D8" s="5">
        <v>1</v>
      </c>
    </row>
    <row r="9" spans="1:4" x14ac:dyDescent="0.3">
      <c r="A9" s="7" t="s">
        <v>36</v>
      </c>
      <c r="B9" s="3">
        <v>8152.6</v>
      </c>
      <c r="C9" s="3">
        <v>2814.07</v>
      </c>
      <c r="D9" s="5">
        <v>6</v>
      </c>
    </row>
    <row r="10" spans="1:4" x14ac:dyDescent="0.3">
      <c r="A10" s="7" t="s">
        <v>39</v>
      </c>
      <c r="B10" s="3">
        <v>4766.26</v>
      </c>
      <c r="C10" s="3">
        <v>438.65</v>
      </c>
      <c r="D10" s="5">
        <v>3</v>
      </c>
    </row>
    <row r="11" spans="1:4" x14ac:dyDescent="0.3">
      <c r="A11" s="7" t="s">
        <v>41</v>
      </c>
      <c r="B11" s="3">
        <v>1892.68</v>
      </c>
      <c r="C11" s="3">
        <v>440.31</v>
      </c>
      <c r="D11" s="5">
        <v>4</v>
      </c>
    </row>
    <row r="12" spans="1:4" x14ac:dyDescent="0.3">
      <c r="A12" s="7" t="s">
        <v>43</v>
      </c>
      <c r="B12" s="3">
        <v>6371.78</v>
      </c>
      <c r="C12" s="3">
        <v>729.72</v>
      </c>
      <c r="D12" s="5">
        <v>4</v>
      </c>
    </row>
    <row r="13" spans="1:4" x14ac:dyDescent="0.3">
      <c r="A13" s="7" t="s">
        <v>44</v>
      </c>
      <c r="B13" s="3">
        <v>23093.13</v>
      </c>
      <c r="C13" s="3">
        <v>2670.82</v>
      </c>
      <c r="D13" s="5">
        <v>3</v>
      </c>
    </row>
    <row r="14" spans="1:4" x14ac:dyDescent="0.3">
      <c r="A14" s="7" t="s">
        <v>47</v>
      </c>
      <c r="B14" s="3">
        <v>611.39</v>
      </c>
      <c r="C14" s="3">
        <v>69.010000000000005</v>
      </c>
      <c r="D14" s="5">
        <v>6</v>
      </c>
    </row>
    <row r="15" spans="1:4" x14ac:dyDescent="0.3">
      <c r="A15" s="7" t="s">
        <v>48</v>
      </c>
      <c r="B15" s="3">
        <v>140726.44</v>
      </c>
      <c r="C15" s="3">
        <v>34966.85</v>
      </c>
      <c r="D15" s="5">
        <v>7</v>
      </c>
    </row>
    <row r="16" spans="1:4" x14ac:dyDescent="0.3">
      <c r="A16" s="7" t="s">
        <v>51</v>
      </c>
      <c r="B16" s="3">
        <v>98005.15</v>
      </c>
      <c r="C16" s="3">
        <v>29155.33</v>
      </c>
      <c r="D16" s="5">
        <v>2</v>
      </c>
    </row>
    <row r="17" spans="1:4" x14ac:dyDescent="0.3">
      <c r="A17" s="7" t="s">
        <v>53</v>
      </c>
      <c r="B17" s="3">
        <v>27052.2</v>
      </c>
      <c r="C17" s="3">
        <v>7487.22</v>
      </c>
      <c r="D17" s="5">
        <v>3</v>
      </c>
    </row>
    <row r="18" spans="1:4" x14ac:dyDescent="0.3">
      <c r="A18" s="7" t="s">
        <v>55</v>
      </c>
      <c r="B18" s="3">
        <v>227.57</v>
      </c>
      <c r="C18" s="3">
        <v>88.58</v>
      </c>
      <c r="D18" s="5">
        <v>3</v>
      </c>
    </row>
    <row r="19" spans="1:4" x14ac:dyDescent="0.3">
      <c r="A19" s="7" t="s">
        <v>57</v>
      </c>
      <c r="B19" s="3">
        <v>6069.08</v>
      </c>
      <c r="C19" s="3">
        <v>1934.72</v>
      </c>
      <c r="D19" s="5">
        <v>1</v>
      </c>
    </row>
    <row r="20" spans="1:4" x14ac:dyDescent="0.3">
      <c r="A20" s="7" t="s">
        <v>58</v>
      </c>
      <c r="B20" s="3">
        <v>63519</v>
      </c>
      <c r="C20" s="3">
        <v>13621.21</v>
      </c>
      <c r="D20" s="5">
        <v>3</v>
      </c>
    </row>
    <row r="21" spans="1:4" x14ac:dyDescent="0.3">
      <c r="A21" s="7" t="s">
        <v>61</v>
      </c>
      <c r="B21" s="3">
        <v>1693.05</v>
      </c>
      <c r="C21" s="3">
        <v>463.81</v>
      </c>
      <c r="D21" s="5">
        <v>4</v>
      </c>
    </row>
    <row r="22" spans="1:4" x14ac:dyDescent="0.3">
      <c r="A22" s="7" t="s">
        <v>63</v>
      </c>
      <c r="B22" s="3">
        <v>11145.34</v>
      </c>
      <c r="C22" s="3">
        <v>1850.41</v>
      </c>
      <c r="D22" s="5">
        <v>2</v>
      </c>
    </row>
    <row r="23" spans="1:4" x14ac:dyDescent="0.3">
      <c r="A23" s="7" t="s">
        <v>64</v>
      </c>
      <c r="B23" s="3">
        <v>194649.45</v>
      </c>
      <c r="C23" s="3">
        <v>68790.91</v>
      </c>
      <c r="D23" s="5">
        <v>4</v>
      </c>
    </row>
    <row r="24" spans="1:4" x14ac:dyDescent="0.3">
      <c r="A24" s="7" t="s">
        <v>65</v>
      </c>
      <c r="B24" s="3">
        <v>18413.46</v>
      </c>
      <c r="C24" s="3">
        <v>6108.96</v>
      </c>
      <c r="D24" s="5">
        <v>3</v>
      </c>
    </row>
    <row r="25" spans="1:4" x14ac:dyDescent="0.3">
      <c r="A25" s="7" t="s">
        <v>67</v>
      </c>
      <c r="B25" s="3">
        <v>685.75</v>
      </c>
      <c r="C25" s="3">
        <v>255.54</v>
      </c>
      <c r="D25" s="5">
        <v>6</v>
      </c>
    </row>
    <row r="26" spans="1:4" x14ac:dyDescent="0.3">
      <c r="A26" s="7" t="s">
        <v>69</v>
      </c>
      <c r="B26" s="3">
        <v>1792.24</v>
      </c>
      <c r="C26" s="3">
        <v>698.97</v>
      </c>
      <c r="D26" s="5">
        <v>1</v>
      </c>
    </row>
    <row r="27" spans="1:4" x14ac:dyDescent="0.3">
      <c r="A27" s="7" t="s">
        <v>70</v>
      </c>
      <c r="B27" s="3">
        <v>3472.48</v>
      </c>
      <c r="C27" s="3">
        <v>1328.41</v>
      </c>
      <c r="D27" s="5">
        <v>8</v>
      </c>
    </row>
    <row r="28" spans="1:4" x14ac:dyDescent="0.3">
      <c r="A28" s="7" t="s">
        <v>71</v>
      </c>
      <c r="B28" s="3">
        <v>806.12</v>
      </c>
      <c r="C28" s="3">
        <v>36.39</v>
      </c>
      <c r="D28" s="5">
        <v>2</v>
      </c>
    </row>
    <row r="29" spans="1:4" x14ac:dyDescent="0.3">
      <c r="A29" s="7" t="s">
        <v>72</v>
      </c>
      <c r="B29" s="3">
        <v>919.66</v>
      </c>
      <c r="C29" s="3">
        <v>312.23</v>
      </c>
      <c r="D29" s="5">
        <v>8</v>
      </c>
    </row>
    <row r="30" spans="1:4" x14ac:dyDescent="0.3">
      <c r="A30" s="7" t="s">
        <v>73</v>
      </c>
      <c r="B30" s="3">
        <v>62785.01</v>
      </c>
      <c r="C30" s="3">
        <v>12453.5</v>
      </c>
      <c r="D30" s="5">
        <v>8</v>
      </c>
    </row>
    <row r="31" spans="1:4" x14ac:dyDescent="0.3">
      <c r="A31" s="7" t="s">
        <v>74</v>
      </c>
      <c r="B31" s="3">
        <v>5737.48</v>
      </c>
      <c r="C31" s="3">
        <v>1463.19</v>
      </c>
      <c r="D31" s="5">
        <v>1</v>
      </c>
    </row>
    <row r="32" spans="1:4" x14ac:dyDescent="0.3">
      <c r="A32" s="7" t="s">
        <v>75</v>
      </c>
      <c r="B32" s="3">
        <v>22334.52</v>
      </c>
      <c r="C32" s="3">
        <v>5978.79</v>
      </c>
      <c r="D32" s="5">
        <v>1</v>
      </c>
    </row>
    <row r="33" spans="1:4" x14ac:dyDescent="0.3">
      <c r="A33" s="7" t="s">
        <v>76</v>
      </c>
      <c r="B33" s="3">
        <v>7106.96</v>
      </c>
      <c r="C33" s="3">
        <v>2078.14</v>
      </c>
      <c r="D33" s="5">
        <v>4</v>
      </c>
    </row>
    <row r="34" spans="1:4" x14ac:dyDescent="0.3">
      <c r="A34" s="7" t="s">
        <v>77</v>
      </c>
      <c r="B34" s="3">
        <v>33629.730000000003</v>
      </c>
      <c r="C34" s="3">
        <v>7739.92</v>
      </c>
      <c r="D34" s="5">
        <v>4</v>
      </c>
    </row>
    <row r="35" spans="1:4" x14ac:dyDescent="0.3">
      <c r="A35" s="7" t="s">
        <v>78</v>
      </c>
      <c r="B35" s="3">
        <v>146.85</v>
      </c>
      <c r="C35" s="3">
        <v>5.37</v>
      </c>
      <c r="D35" s="5">
        <v>2</v>
      </c>
    </row>
    <row r="36" spans="1:4" x14ac:dyDescent="0.3">
      <c r="A36" s="7" t="s">
        <v>79</v>
      </c>
      <c r="B36" s="3">
        <v>34472.199999999997</v>
      </c>
      <c r="C36" s="3">
        <v>12073.12</v>
      </c>
      <c r="D36" s="5">
        <v>5</v>
      </c>
    </row>
    <row r="37" spans="1:4" x14ac:dyDescent="0.3">
      <c r="A37" s="7" t="s">
        <v>80</v>
      </c>
      <c r="B37" s="3">
        <v>1851.13</v>
      </c>
      <c r="C37" s="3">
        <v>263.26</v>
      </c>
      <c r="D37" s="5">
        <v>5</v>
      </c>
    </row>
    <row r="38" spans="1:4" x14ac:dyDescent="0.3">
      <c r="A38" s="7" t="s">
        <v>81</v>
      </c>
      <c r="B38" s="3">
        <v>3477.36</v>
      </c>
      <c r="C38" s="3">
        <v>754.93</v>
      </c>
      <c r="D38" s="5">
        <v>2</v>
      </c>
    </row>
    <row r="39" spans="1:4" x14ac:dyDescent="0.3">
      <c r="A39" s="7" t="s">
        <v>82</v>
      </c>
      <c r="B39" s="3">
        <v>73546.960000000006</v>
      </c>
      <c r="C39" s="3">
        <v>16627.2</v>
      </c>
      <c r="D39" s="5">
        <v>8</v>
      </c>
    </row>
    <row r="40" spans="1:4" x14ac:dyDescent="0.3">
      <c r="A40" s="7" t="s">
        <v>83</v>
      </c>
      <c r="B40" s="3">
        <v>217.78</v>
      </c>
      <c r="C40" s="3">
        <v>56.75</v>
      </c>
      <c r="D40" s="5">
        <v>3</v>
      </c>
    </row>
    <row r="41" spans="1:4" x14ac:dyDescent="0.3">
      <c r="A41" s="7" t="s">
        <v>84</v>
      </c>
      <c r="B41" s="3">
        <v>4628.58</v>
      </c>
      <c r="C41" s="3">
        <v>1001.72</v>
      </c>
      <c r="D41" s="5">
        <v>3</v>
      </c>
    </row>
    <row r="42" spans="1:4" x14ac:dyDescent="0.3">
      <c r="A42" s="7" t="s">
        <v>85</v>
      </c>
      <c r="B42" s="3">
        <v>82.14</v>
      </c>
      <c r="C42" s="3">
        <v>29.12</v>
      </c>
      <c r="D42" s="5">
        <v>1</v>
      </c>
    </row>
    <row r="43" spans="1:4" x14ac:dyDescent="0.3">
      <c r="A43" s="7" t="s">
        <v>86</v>
      </c>
      <c r="B43" s="3">
        <v>39788.49</v>
      </c>
      <c r="C43" s="3">
        <v>17638.54</v>
      </c>
      <c r="D43" s="5">
        <v>3</v>
      </c>
    </row>
    <row r="44" spans="1:4" x14ac:dyDescent="0.3">
      <c r="A44" s="7" t="s">
        <v>88</v>
      </c>
      <c r="B44" s="3">
        <v>470.96</v>
      </c>
      <c r="C44" s="3">
        <v>207.01</v>
      </c>
      <c r="D44" s="5">
        <v>4</v>
      </c>
    </row>
    <row r="45" spans="1:4" x14ac:dyDescent="0.3">
      <c r="A45" s="7" t="s">
        <v>89</v>
      </c>
      <c r="B45" s="3">
        <v>49694.720000000001</v>
      </c>
      <c r="C45" s="3">
        <v>13506.58</v>
      </c>
      <c r="D45" s="5">
        <v>8</v>
      </c>
    </row>
    <row r="46" spans="1:4" x14ac:dyDescent="0.3">
      <c r="A46" s="7" t="s">
        <v>90</v>
      </c>
      <c r="B46" s="3">
        <v>15054.42</v>
      </c>
      <c r="C46" s="3">
        <v>621.48</v>
      </c>
      <c r="D46" s="5">
        <v>2</v>
      </c>
    </row>
    <row r="47" spans="1:4" x14ac:dyDescent="0.3">
      <c r="A47" s="7" t="s">
        <v>91</v>
      </c>
      <c r="B47" s="3">
        <v>100419.51</v>
      </c>
      <c r="C47" s="3">
        <v>26974.34</v>
      </c>
      <c r="D47" s="5">
        <v>2</v>
      </c>
    </row>
    <row r="48" spans="1:4" x14ac:dyDescent="0.3">
      <c r="A48" s="7" t="s">
        <v>92</v>
      </c>
      <c r="B48" s="3">
        <v>659.43</v>
      </c>
      <c r="C48" s="3">
        <v>208.52</v>
      </c>
      <c r="D48" s="5">
        <v>6</v>
      </c>
    </row>
    <row r="49" spans="1:4" x14ac:dyDescent="0.3">
      <c r="A49" s="7" t="s">
        <v>93</v>
      </c>
      <c r="B49" s="3">
        <v>8170.91</v>
      </c>
      <c r="C49" s="3">
        <v>1486.32</v>
      </c>
      <c r="D49" s="5">
        <v>1</v>
      </c>
    </row>
    <row r="50" spans="1:4" x14ac:dyDescent="0.3">
      <c r="A50" s="7" t="s">
        <v>94</v>
      </c>
      <c r="B50" s="3">
        <v>37780.06</v>
      </c>
      <c r="C50" s="3">
        <v>8784.2800000000007</v>
      </c>
      <c r="D50" s="5">
        <v>6</v>
      </c>
    </row>
    <row r="51" spans="1:4" x14ac:dyDescent="0.3">
      <c r="A51" s="7" t="s">
        <v>95</v>
      </c>
      <c r="B51" s="3">
        <v>2088.9</v>
      </c>
      <c r="C51" s="3">
        <v>464.92</v>
      </c>
      <c r="D51" s="5">
        <v>5</v>
      </c>
    </row>
    <row r="52" spans="1:4" x14ac:dyDescent="0.3">
      <c r="A52" s="7" t="s">
        <v>96</v>
      </c>
      <c r="B52" s="3">
        <v>322.35000000000002</v>
      </c>
      <c r="C52" s="3">
        <v>82.66</v>
      </c>
      <c r="D52" s="5">
        <v>3</v>
      </c>
    </row>
    <row r="53" spans="1:4" x14ac:dyDescent="0.3">
      <c r="A53" s="7" t="s">
        <v>97</v>
      </c>
      <c r="B53" s="3">
        <v>69396.75</v>
      </c>
      <c r="C53" s="3">
        <v>16345.48</v>
      </c>
      <c r="D53" s="5">
        <v>6</v>
      </c>
    </row>
    <row r="54" spans="1:4" x14ac:dyDescent="0.3">
      <c r="A54" s="7" t="s">
        <v>98</v>
      </c>
      <c r="B54" s="3">
        <v>9248.85</v>
      </c>
      <c r="C54" s="3">
        <v>3601.01</v>
      </c>
      <c r="D54" s="5">
        <v>5</v>
      </c>
    </row>
    <row r="55" spans="1:4" x14ac:dyDescent="0.3">
      <c r="A55" s="7" t="s">
        <v>99</v>
      </c>
      <c r="B55" s="3">
        <v>49366.04</v>
      </c>
      <c r="C55" s="3">
        <v>16281.29</v>
      </c>
      <c r="D55" s="5">
        <v>1</v>
      </c>
    </row>
    <row r="56" spans="1:4" x14ac:dyDescent="0.3">
      <c r="A56" s="7" t="s">
        <v>100</v>
      </c>
      <c r="B56" s="3">
        <v>43156.69</v>
      </c>
      <c r="C56" s="3">
        <v>8289.17</v>
      </c>
      <c r="D56" s="5">
        <v>4</v>
      </c>
    </row>
    <row r="57" spans="1:4" x14ac:dyDescent="0.3">
      <c r="A57" s="7" t="s">
        <v>101</v>
      </c>
      <c r="B57" s="3">
        <v>405.69</v>
      </c>
      <c r="C57" s="3">
        <v>71.36</v>
      </c>
      <c r="D57" s="5">
        <v>4</v>
      </c>
    </row>
    <row r="58" spans="1:4" x14ac:dyDescent="0.3">
      <c r="A58" s="7" t="s">
        <v>102</v>
      </c>
      <c r="B58" s="3">
        <v>157139.98000000001</v>
      </c>
      <c r="C58" s="3">
        <v>10935.93</v>
      </c>
      <c r="D58" s="5">
        <v>8</v>
      </c>
    </row>
    <row r="59" spans="1:4" x14ac:dyDescent="0.3">
      <c r="A59" s="7" t="s">
        <v>103</v>
      </c>
      <c r="B59" s="3">
        <v>4447.2299999999996</v>
      </c>
      <c r="C59" s="3">
        <v>810.98</v>
      </c>
      <c r="D59" s="5">
        <v>3</v>
      </c>
    </row>
    <row r="60" spans="1:4" x14ac:dyDescent="0.3">
      <c r="A60" s="7" t="s">
        <v>104</v>
      </c>
      <c r="B60" s="3">
        <v>6205</v>
      </c>
      <c r="C60" s="3">
        <v>2399.39</v>
      </c>
      <c r="D60" s="5">
        <v>4</v>
      </c>
    </row>
    <row r="61" spans="1:4" x14ac:dyDescent="0.3">
      <c r="A61" s="7" t="s">
        <v>105</v>
      </c>
      <c r="B61" s="3">
        <v>883.16</v>
      </c>
      <c r="C61" s="3">
        <v>360.99</v>
      </c>
      <c r="D61" s="5">
        <v>2</v>
      </c>
    </row>
    <row r="62" spans="1:4" x14ac:dyDescent="0.3">
      <c r="A62" s="7" t="s">
        <v>106</v>
      </c>
      <c r="B62" s="3">
        <v>745.79</v>
      </c>
      <c r="C62" s="3">
        <v>243.75</v>
      </c>
      <c r="D62" s="5">
        <v>7</v>
      </c>
    </row>
    <row r="63" spans="1:4" x14ac:dyDescent="0.3">
      <c r="A63" s="7" t="s">
        <v>107</v>
      </c>
      <c r="B63" s="3">
        <v>13385.48</v>
      </c>
      <c r="C63" s="3">
        <v>4944.26</v>
      </c>
      <c r="D63" s="5">
        <v>1</v>
      </c>
    </row>
    <row r="64" spans="1:4" x14ac:dyDescent="0.3">
      <c r="A64" s="7" t="s">
        <v>108</v>
      </c>
      <c r="B64" s="3">
        <v>1692.44</v>
      </c>
      <c r="C64" s="3">
        <v>698.64</v>
      </c>
      <c r="D64" s="5">
        <v>4</v>
      </c>
    </row>
    <row r="65" spans="1:4" x14ac:dyDescent="0.3">
      <c r="A65" s="7" t="s">
        <v>109</v>
      </c>
      <c r="B65" s="3">
        <v>307.68</v>
      </c>
      <c r="C65" s="3">
        <v>19.95</v>
      </c>
      <c r="D65" s="5">
        <v>3</v>
      </c>
    </row>
    <row r="66" spans="1:4" x14ac:dyDescent="0.3">
      <c r="A66" s="7" t="s">
        <v>110</v>
      </c>
      <c r="B66" s="3">
        <v>93958.6</v>
      </c>
      <c r="C66" s="3">
        <v>29206.28</v>
      </c>
      <c r="D66" s="5">
        <v>2</v>
      </c>
    </row>
    <row r="67" spans="1:4" x14ac:dyDescent="0.3">
      <c r="A67" s="7" t="s">
        <v>111</v>
      </c>
      <c r="B67" s="3">
        <v>8894.74</v>
      </c>
      <c r="C67" s="3">
        <v>1642.07</v>
      </c>
      <c r="D67" s="5">
        <v>6</v>
      </c>
    </row>
    <row r="68" spans="1:4" x14ac:dyDescent="0.3">
      <c r="A68" s="7" t="s">
        <v>112</v>
      </c>
      <c r="B68" s="3">
        <v>1536.03</v>
      </c>
      <c r="C68" s="3">
        <v>367.21</v>
      </c>
      <c r="D68" s="5">
        <v>1</v>
      </c>
    </row>
    <row r="69" spans="1:4" x14ac:dyDescent="0.3">
      <c r="A69" s="7" t="s">
        <v>113</v>
      </c>
      <c r="B69" s="3">
        <v>176599.26</v>
      </c>
      <c r="C69" s="3">
        <v>55248.63</v>
      </c>
      <c r="D69" s="5">
        <v>4</v>
      </c>
    </row>
    <row r="70" spans="1:4" x14ac:dyDescent="0.3">
      <c r="A70" s="7" t="s">
        <v>114</v>
      </c>
      <c r="B70" s="3">
        <v>49528.44</v>
      </c>
      <c r="C70" s="3">
        <v>18492.2</v>
      </c>
      <c r="D70" s="5">
        <v>4</v>
      </c>
    </row>
    <row r="71" spans="1:4" x14ac:dyDescent="0.3">
      <c r="A71" s="7" t="s">
        <v>115</v>
      </c>
      <c r="B71" s="3">
        <v>117548.4</v>
      </c>
      <c r="C71" s="3">
        <v>34622.1</v>
      </c>
      <c r="D71" s="5">
        <v>5</v>
      </c>
    </row>
    <row r="72" spans="1:4" x14ac:dyDescent="0.3">
      <c r="A72" s="7" t="s">
        <v>116</v>
      </c>
      <c r="B72" s="3">
        <v>13042.17</v>
      </c>
      <c r="C72" s="3">
        <v>3265.88</v>
      </c>
      <c r="D72" s="5">
        <v>2</v>
      </c>
    </row>
    <row r="73" spans="1:4" x14ac:dyDescent="0.3">
      <c r="A73" s="7" t="s">
        <v>117</v>
      </c>
      <c r="B73" s="3">
        <v>291878.87</v>
      </c>
      <c r="C73" s="3">
        <v>69179.38</v>
      </c>
      <c r="D73" s="5">
        <v>6</v>
      </c>
    </row>
    <row r="74" spans="1:4" x14ac:dyDescent="0.3">
      <c r="A74" s="7" t="s">
        <v>118</v>
      </c>
      <c r="B74" s="3">
        <v>2789.55</v>
      </c>
      <c r="C74" s="3">
        <v>720.38</v>
      </c>
      <c r="D74" s="5">
        <v>2</v>
      </c>
    </row>
    <row r="75" spans="1:4" x14ac:dyDescent="0.3">
      <c r="A75" s="7" t="s">
        <v>119</v>
      </c>
      <c r="B75" s="3">
        <v>58932.13</v>
      </c>
      <c r="C75" s="3">
        <v>4855.83</v>
      </c>
      <c r="D75" s="5">
        <v>8</v>
      </c>
    </row>
    <row r="76" spans="1:4" x14ac:dyDescent="0.3">
      <c r="A76" s="7" t="s">
        <v>120</v>
      </c>
      <c r="B76" s="3">
        <v>5237.26</v>
      </c>
      <c r="C76" s="3">
        <v>1288.82</v>
      </c>
      <c r="D76" s="5">
        <v>4</v>
      </c>
    </row>
    <row r="77" spans="1:4" x14ac:dyDescent="0.3">
      <c r="A77" s="7" t="s">
        <v>121</v>
      </c>
      <c r="B77" s="3">
        <v>162928.72</v>
      </c>
      <c r="C77" s="3">
        <v>27837.42</v>
      </c>
      <c r="D77" s="5">
        <v>8</v>
      </c>
    </row>
    <row r="78" spans="1:4" x14ac:dyDescent="0.3">
      <c r="A78" s="7" t="s">
        <v>122</v>
      </c>
      <c r="B78" s="3">
        <v>465.85</v>
      </c>
      <c r="C78" s="3">
        <v>148.18</v>
      </c>
      <c r="D78" s="5">
        <v>1</v>
      </c>
    </row>
    <row r="79" spans="1:4" x14ac:dyDescent="0.3">
      <c r="A79" s="7" t="s">
        <v>123</v>
      </c>
      <c r="B79" s="3">
        <v>11604.96</v>
      </c>
      <c r="C79" s="3">
        <v>3955.11</v>
      </c>
      <c r="D79" s="5">
        <v>8</v>
      </c>
    </row>
    <row r="80" spans="1:4" x14ac:dyDescent="0.3">
      <c r="A80" s="7" t="s">
        <v>124</v>
      </c>
      <c r="B80" s="3">
        <v>62156.3</v>
      </c>
      <c r="C80" s="3">
        <v>2260.2600000000002</v>
      </c>
      <c r="D80" s="5">
        <v>6</v>
      </c>
    </row>
    <row r="81" spans="1:4" x14ac:dyDescent="0.3">
      <c r="A81" s="7" t="s">
        <v>125</v>
      </c>
      <c r="B81" s="3">
        <v>581.78</v>
      </c>
      <c r="C81" s="3">
        <v>125.7</v>
      </c>
      <c r="D81" s="5">
        <v>8</v>
      </c>
    </row>
    <row r="82" spans="1:4" x14ac:dyDescent="0.3">
      <c r="A82" s="7" t="s">
        <v>126</v>
      </c>
      <c r="B82" s="3">
        <v>1171.56</v>
      </c>
      <c r="C82" s="3">
        <v>248.39</v>
      </c>
      <c r="D82" s="5">
        <v>3</v>
      </c>
    </row>
    <row r="83" spans="1:4" x14ac:dyDescent="0.3">
      <c r="A83" s="7" t="s">
        <v>127</v>
      </c>
      <c r="B83" s="3">
        <v>17599.34</v>
      </c>
      <c r="C83" s="3">
        <v>6483.38</v>
      </c>
      <c r="D83" s="5">
        <v>2</v>
      </c>
    </row>
    <row r="84" spans="1:4" x14ac:dyDescent="0.3">
      <c r="A84" s="7" t="s">
        <v>128</v>
      </c>
      <c r="B84" s="3">
        <v>90390.36</v>
      </c>
      <c r="C84" s="3">
        <v>4795.5600000000004</v>
      </c>
      <c r="D84" s="5">
        <v>5</v>
      </c>
    </row>
    <row r="85" spans="1:4" x14ac:dyDescent="0.3">
      <c r="A85" s="7" t="s">
        <v>129</v>
      </c>
      <c r="B85" s="3">
        <v>1604.57</v>
      </c>
      <c r="C85" s="3">
        <v>535.25</v>
      </c>
      <c r="D85" s="5">
        <v>1</v>
      </c>
    </row>
    <row r="86" spans="1:4" x14ac:dyDescent="0.3">
      <c r="A86" s="7" t="s">
        <v>130</v>
      </c>
      <c r="B86" s="3">
        <v>2516</v>
      </c>
      <c r="C86" s="3">
        <v>503.34</v>
      </c>
      <c r="D86" s="5">
        <v>2</v>
      </c>
    </row>
    <row r="87" spans="1:4" x14ac:dyDescent="0.3">
      <c r="A87" s="7" t="s">
        <v>131</v>
      </c>
      <c r="B87" s="3">
        <v>111022.1</v>
      </c>
      <c r="C87" s="3">
        <v>37484.730000000003</v>
      </c>
      <c r="D87" s="5">
        <v>5</v>
      </c>
    </row>
    <row r="88" spans="1:4" x14ac:dyDescent="0.3">
      <c r="A88" s="7" t="s">
        <v>132</v>
      </c>
      <c r="B88" s="3">
        <v>45715.89</v>
      </c>
      <c r="C88" s="3">
        <v>6385.38</v>
      </c>
      <c r="D88" s="5">
        <v>7</v>
      </c>
    </row>
    <row r="89" spans="1:4" x14ac:dyDescent="0.3">
      <c r="A89" s="7" t="s">
        <v>133</v>
      </c>
      <c r="B89" s="3">
        <v>12029.29</v>
      </c>
      <c r="C89" s="3">
        <v>5149.49</v>
      </c>
      <c r="D89" s="5">
        <v>1</v>
      </c>
    </row>
    <row r="90" spans="1:4" x14ac:dyDescent="0.3">
      <c r="A90" s="7" t="s">
        <v>134</v>
      </c>
      <c r="B90" s="3">
        <v>803.59</v>
      </c>
      <c r="C90" s="3">
        <v>169.35</v>
      </c>
      <c r="D90" s="5">
        <v>2</v>
      </c>
    </row>
    <row r="91" spans="1:4" x14ac:dyDescent="0.3">
      <c r="A91" s="7" t="s">
        <v>135</v>
      </c>
      <c r="B91" s="3">
        <v>27243.13</v>
      </c>
      <c r="C91" s="3">
        <v>8686.7900000000009</v>
      </c>
      <c r="D91" s="5">
        <v>5</v>
      </c>
    </row>
    <row r="92" spans="1:4" x14ac:dyDescent="0.3">
      <c r="A92" s="7" t="s">
        <v>136</v>
      </c>
      <c r="B92" s="3">
        <v>40628.71</v>
      </c>
      <c r="C92" s="3">
        <v>12416.75</v>
      </c>
      <c r="D92" s="5">
        <v>4</v>
      </c>
    </row>
    <row r="93" spans="1:4" x14ac:dyDescent="0.3">
      <c r="A93" s="7" t="s">
        <v>137</v>
      </c>
      <c r="B93" s="3">
        <v>1590.94</v>
      </c>
      <c r="C93" s="3">
        <v>273.85000000000002</v>
      </c>
      <c r="D93" s="5">
        <v>1</v>
      </c>
    </row>
    <row r="94" spans="1:4" x14ac:dyDescent="0.3">
      <c r="A94" s="7" t="s">
        <v>138</v>
      </c>
      <c r="B94" s="3">
        <v>13877.93</v>
      </c>
      <c r="C94" s="3">
        <v>3313.32</v>
      </c>
      <c r="D94" s="5">
        <v>8</v>
      </c>
    </row>
    <row r="95" spans="1:4" x14ac:dyDescent="0.3">
      <c r="A95" s="7" t="s">
        <v>139</v>
      </c>
      <c r="B95" s="3">
        <v>1738.38</v>
      </c>
      <c r="C95" s="3">
        <v>719.17</v>
      </c>
      <c r="D95" s="5">
        <v>1</v>
      </c>
    </row>
    <row r="96" spans="1:4" x14ac:dyDescent="0.3">
      <c r="A96" s="7" t="s">
        <v>140</v>
      </c>
      <c r="B96" s="3">
        <v>13026.22</v>
      </c>
      <c r="C96" s="3">
        <v>5245.64</v>
      </c>
      <c r="D96" s="5">
        <v>1</v>
      </c>
    </row>
    <row r="97" spans="1:4" x14ac:dyDescent="0.3">
      <c r="A97" s="7" t="s">
        <v>141</v>
      </c>
      <c r="B97" s="3">
        <v>6895.57</v>
      </c>
      <c r="C97" s="3">
        <v>1664.39</v>
      </c>
      <c r="D97" s="5">
        <v>5</v>
      </c>
    </row>
    <row r="98" spans="1:4" x14ac:dyDescent="0.3">
      <c r="A98" s="7" t="s">
        <v>142</v>
      </c>
      <c r="B98" s="3">
        <v>592.05999999999995</v>
      </c>
      <c r="C98" s="3">
        <v>213.71</v>
      </c>
      <c r="D98" s="5">
        <v>7</v>
      </c>
    </row>
    <row r="99" spans="1:4" x14ac:dyDescent="0.3">
      <c r="A99" s="7" t="s">
        <v>143</v>
      </c>
      <c r="B99" s="3">
        <v>61130.3</v>
      </c>
      <c r="C99" s="3">
        <v>22172.94</v>
      </c>
      <c r="D99" s="5">
        <v>7</v>
      </c>
    </row>
    <row r="100" spans="1:4" x14ac:dyDescent="0.3">
      <c r="A100" s="7" t="s">
        <v>144</v>
      </c>
      <c r="B100" s="3">
        <v>441298.16</v>
      </c>
      <c r="C100" s="3">
        <v>124397.03</v>
      </c>
      <c r="D100" s="5">
        <v>8</v>
      </c>
    </row>
    <row r="101" spans="1:4" x14ac:dyDescent="0.3">
      <c r="A101" s="7" t="s">
        <v>145</v>
      </c>
      <c r="B101" s="3">
        <v>1199.72</v>
      </c>
      <c r="C101" s="3">
        <v>313.66000000000003</v>
      </c>
      <c r="D101" s="5">
        <v>1</v>
      </c>
    </row>
    <row r="102" spans="1:4" x14ac:dyDescent="0.3">
      <c r="A102" s="7" t="s">
        <v>146</v>
      </c>
      <c r="B102" s="3">
        <v>1745.5</v>
      </c>
      <c r="C102" s="3">
        <v>779.03</v>
      </c>
      <c r="D102" s="5">
        <v>1</v>
      </c>
    </row>
    <row r="103" spans="1:4" x14ac:dyDescent="0.3">
      <c r="A103" s="7" t="s">
        <v>147</v>
      </c>
      <c r="B103" s="3">
        <v>12996.62</v>
      </c>
      <c r="C103" s="3">
        <v>3333.86</v>
      </c>
      <c r="D103" s="5">
        <v>2</v>
      </c>
    </row>
    <row r="104" spans="1:4" x14ac:dyDescent="0.3">
      <c r="A104" s="7" t="s">
        <v>148</v>
      </c>
      <c r="B104" s="3">
        <v>62564.39</v>
      </c>
      <c r="C104" s="3">
        <v>25710.63</v>
      </c>
      <c r="D104" s="5">
        <v>7</v>
      </c>
    </row>
    <row r="105" spans="1:4" x14ac:dyDescent="0.3">
      <c r="A105" s="7" t="s">
        <v>149</v>
      </c>
      <c r="B105" s="3">
        <v>1183.8699999999999</v>
      </c>
      <c r="C105" s="3">
        <v>180.63</v>
      </c>
      <c r="D105" s="5">
        <v>3</v>
      </c>
    </row>
    <row r="106" spans="1:4" x14ac:dyDescent="0.3">
      <c r="A106" s="7" t="s">
        <v>150</v>
      </c>
      <c r="B106" s="3">
        <v>40750.019999999997</v>
      </c>
      <c r="C106" s="3">
        <v>11628.09</v>
      </c>
      <c r="D106" s="5">
        <v>5</v>
      </c>
    </row>
    <row r="107" spans="1:4" x14ac:dyDescent="0.3">
      <c r="A107" s="7" t="s">
        <v>151</v>
      </c>
      <c r="B107" s="3">
        <v>971.04</v>
      </c>
      <c r="C107" s="3">
        <v>375.73</v>
      </c>
      <c r="D107" s="5">
        <v>8</v>
      </c>
    </row>
    <row r="108" spans="1:4" x14ac:dyDescent="0.3">
      <c r="A108" s="7" t="s">
        <v>152</v>
      </c>
      <c r="B108" s="3">
        <v>639.52</v>
      </c>
      <c r="C108" s="3">
        <v>281.39</v>
      </c>
      <c r="D108" s="5">
        <v>8</v>
      </c>
    </row>
    <row r="109" spans="1:4" x14ac:dyDescent="0.3">
      <c r="A109" s="7" t="s">
        <v>153</v>
      </c>
      <c r="B109" s="3">
        <v>144.91999999999999</v>
      </c>
      <c r="C109" s="3">
        <v>50.44</v>
      </c>
      <c r="D109" s="5">
        <v>2</v>
      </c>
    </row>
    <row r="110" spans="1:4" x14ac:dyDescent="0.3">
      <c r="A110" s="7" t="s">
        <v>154</v>
      </c>
      <c r="B110" s="3">
        <v>42624.35</v>
      </c>
      <c r="C110" s="3">
        <v>13131.86</v>
      </c>
      <c r="D110" s="5">
        <v>2</v>
      </c>
    </row>
    <row r="111" spans="1:4" x14ac:dyDescent="0.3">
      <c r="A111" s="7" t="s">
        <v>155</v>
      </c>
      <c r="B111" s="3">
        <v>3003.9</v>
      </c>
      <c r="C111" s="3">
        <v>1135.83</v>
      </c>
      <c r="D111" s="5">
        <v>7</v>
      </c>
    </row>
    <row r="112" spans="1:4" x14ac:dyDescent="0.3">
      <c r="A112" s="7" t="s">
        <v>156</v>
      </c>
      <c r="B112" s="3">
        <v>37499.72</v>
      </c>
      <c r="C112" s="3">
        <v>9748.0300000000007</v>
      </c>
      <c r="D112" s="5">
        <v>4</v>
      </c>
    </row>
    <row r="113" spans="1:4" x14ac:dyDescent="0.3">
      <c r="A113" s="7" t="s">
        <v>157</v>
      </c>
      <c r="B113" s="3">
        <v>109451.49</v>
      </c>
      <c r="C113" s="3">
        <v>36958.97</v>
      </c>
      <c r="D113" s="5">
        <v>5</v>
      </c>
    </row>
    <row r="114" spans="1:4" x14ac:dyDescent="0.3">
      <c r="A114" s="7" t="s">
        <v>158</v>
      </c>
      <c r="B114" s="3">
        <v>83353.36</v>
      </c>
      <c r="C114" s="3">
        <v>35731.800000000003</v>
      </c>
      <c r="D114" s="5">
        <v>4</v>
      </c>
    </row>
    <row r="115" spans="1:4" x14ac:dyDescent="0.3">
      <c r="A115" s="7" t="s">
        <v>159</v>
      </c>
      <c r="B115" s="3">
        <v>47832.62</v>
      </c>
      <c r="C115" s="3">
        <v>12006.83</v>
      </c>
      <c r="D115" s="5">
        <v>8</v>
      </c>
    </row>
    <row r="116" spans="1:4" x14ac:dyDescent="0.3">
      <c r="A116" s="7" t="s">
        <v>160</v>
      </c>
      <c r="B116" s="3">
        <v>7230.87</v>
      </c>
      <c r="C116" s="3">
        <v>669.53</v>
      </c>
      <c r="D116" s="5">
        <v>5</v>
      </c>
    </row>
    <row r="117" spans="1:4" x14ac:dyDescent="0.3">
      <c r="A117" s="7" t="s">
        <v>161</v>
      </c>
      <c r="B117" s="3">
        <v>647.95000000000005</v>
      </c>
      <c r="C117" s="3">
        <v>142.29</v>
      </c>
      <c r="D117" s="5">
        <v>5</v>
      </c>
    </row>
    <row r="118" spans="1:4" x14ac:dyDescent="0.3">
      <c r="A118" s="7" t="s">
        <v>162</v>
      </c>
      <c r="B118" s="3">
        <v>631.66999999999996</v>
      </c>
      <c r="C118" s="3">
        <v>116.95</v>
      </c>
      <c r="D118" s="5">
        <v>6</v>
      </c>
    </row>
    <row r="119" spans="1:4" x14ac:dyDescent="0.3">
      <c r="A119" s="7" t="s">
        <v>163</v>
      </c>
      <c r="B119" s="3">
        <v>55942.17</v>
      </c>
      <c r="C119" s="3">
        <v>19852.38</v>
      </c>
      <c r="D119" s="5">
        <v>1</v>
      </c>
    </row>
    <row r="120" spans="1:4" x14ac:dyDescent="0.3">
      <c r="A120" s="7" t="s">
        <v>164</v>
      </c>
      <c r="B120" s="3">
        <v>66534.05</v>
      </c>
      <c r="C120" s="3">
        <v>18329.330000000002</v>
      </c>
      <c r="D120" s="5">
        <v>5</v>
      </c>
    </row>
    <row r="121" spans="1:4" x14ac:dyDescent="0.3">
      <c r="A121" s="7" t="s">
        <v>165</v>
      </c>
      <c r="B121" s="3">
        <v>304808.24</v>
      </c>
      <c r="C121" s="3">
        <v>92345.4</v>
      </c>
      <c r="D121" s="5">
        <v>6</v>
      </c>
    </row>
    <row r="122" spans="1:4" x14ac:dyDescent="0.3">
      <c r="A122" s="7" t="s">
        <v>166</v>
      </c>
      <c r="B122" s="3">
        <v>2734.92</v>
      </c>
      <c r="C122" s="3">
        <v>417.64</v>
      </c>
      <c r="D122" s="5">
        <v>6</v>
      </c>
    </row>
    <row r="123" spans="1:4" x14ac:dyDescent="0.3">
      <c r="A123" s="7" t="s">
        <v>167</v>
      </c>
      <c r="B123" s="3">
        <v>15229.76</v>
      </c>
      <c r="C123" s="3">
        <v>3875.39</v>
      </c>
      <c r="D123" s="5">
        <v>8</v>
      </c>
    </row>
    <row r="124" spans="1:4" x14ac:dyDescent="0.3">
      <c r="A124" s="7" t="s">
        <v>168</v>
      </c>
      <c r="B124" s="3">
        <v>152.88999999999999</v>
      </c>
      <c r="C124" s="3">
        <v>44.61</v>
      </c>
      <c r="D124" s="5">
        <v>2</v>
      </c>
    </row>
    <row r="125" spans="1:4" x14ac:dyDescent="0.3">
      <c r="A125" s="7" t="s">
        <v>169</v>
      </c>
      <c r="B125" s="3">
        <v>62712.51</v>
      </c>
      <c r="C125" s="3">
        <v>17730.23</v>
      </c>
      <c r="D125" s="5">
        <v>7</v>
      </c>
    </row>
    <row r="126" spans="1:4" x14ac:dyDescent="0.3">
      <c r="A126" s="7" t="s">
        <v>170</v>
      </c>
      <c r="B126" s="3">
        <v>47947.61</v>
      </c>
      <c r="C126" s="3">
        <v>14299.51</v>
      </c>
      <c r="D126" s="5">
        <v>4</v>
      </c>
    </row>
    <row r="127" spans="1:4" x14ac:dyDescent="0.3">
      <c r="A127" s="7" t="s">
        <v>171</v>
      </c>
      <c r="B127" s="3">
        <v>18583.87</v>
      </c>
      <c r="C127" s="3">
        <v>5918.02</v>
      </c>
      <c r="D127" s="5">
        <v>1</v>
      </c>
    </row>
    <row r="128" spans="1:4" x14ac:dyDescent="0.3">
      <c r="A128" s="7" t="s">
        <v>172</v>
      </c>
      <c r="B128" s="3">
        <v>805.46</v>
      </c>
      <c r="C128" s="3">
        <v>94.37</v>
      </c>
      <c r="D128" s="5">
        <v>8</v>
      </c>
    </row>
    <row r="129" spans="1:4" x14ac:dyDescent="0.3">
      <c r="A129" s="7" t="s">
        <v>173</v>
      </c>
      <c r="B129" s="3">
        <v>14838.4</v>
      </c>
      <c r="C129" s="3">
        <v>5806.82</v>
      </c>
      <c r="D129" s="5">
        <v>8</v>
      </c>
    </row>
    <row r="130" spans="1:4" x14ac:dyDescent="0.3">
      <c r="A130" s="7" t="s">
        <v>174</v>
      </c>
      <c r="B130" s="3">
        <v>141.32</v>
      </c>
      <c r="C130" s="3">
        <v>48.42</v>
      </c>
      <c r="D130" s="5">
        <v>2</v>
      </c>
    </row>
    <row r="131" spans="1:4" x14ac:dyDescent="0.3">
      <c r="A131" s="7" t="s">
        <v>175</v>
      </c>
      <c r="B131" s="3">
        <v>6559.37</v>
      </c>
      <c r="C131" s="3">
        <v>2527.09</v>
      </c>
      <c r="D131" s="5">
        <v>4</v>
      </c>
    </row>
    <row r="132" spans="1:4" x14ac:dyDescent="0.3">
      <c r="A132" s="7" t="s">
        <v>176</v>
      </c>
      <c r="B132" s="3">
        <v>7140.28</v>
      </c>
      <c r="C132" s="3">
        <v>1406.01</v>
      </c>
      <c r="D132" s="5">
        <v>4</v>
      </c>
    </row>
    <row r="133" spans="1:4" x14ac:dyDescent="0.3">
      <c r="A133" s="7" t="s">
        <v>177</v>
      </c>
      <c r="B133" s="3">
        <v>26875.1</v>
      </c>
      <c r="C133" s="3">
        <v>10476.19</v>
      </c>
      <c r="D133" s="5">
        <v>3</v>
      </c>
    </row>
    <row r="134" spans="1:4" x14ac:dyDescent="0.3">
      <c r="A134" s="7" t="s">
        <v>178</v>
      </c>
      <c r="B134" s="3">
        <v>289211.56</v>
      </c>
      <c r="C134" s="3">
        <v>99960.88</v>
      </c>
      <c r="D134" s="5">
        <v>6</v>
      </c>
    </row>
    <row r="135" spans="1:4" x14ac:dyDescent="0.3">
      <c r="A135" s="7" t="s">
        <v>179</v>
      </c>
      <c r="B135" s="3">
        <v>846.04</v>
      </c>
      <c r="C135" s="3">
        <v>198.75</v>
      </c>
      <c r="D135" s="5">
        <v>2</v>
      </c>
    </row>
    <row r="136" spans="1:4" x14ac:dyDescent="0.3">
      <c r="A136" s="7" t="s">
        <v>180</v>
      </c>
      <c r="B136" s="3">
        <v>1481.45</v>
      </c>
      <c r="C136" s="3">
        <v>220.12</v>
      </c>
      <c r="D136" s="5">
        <v>4</v>
      </c>
    </row>
    <row r="137" spans="1:4" x14ac:dyDescent="0.3">
      <c r="A137" s="7" t="s">
        <v>181</v>
      </c>
      <c r="B137" s="3">
        <v>10483.620000000001</v>
      </c>
      <c r="C137" s="3">
        <v>2142.65</v>
      </c>
      <c r="D137" s="5">
        <v>7</v>
      </c>
    </row>
    <row r="138" spans="1:4" x14ac:dyDescent="0.3">
      <c r="A138" s="7" t="s">
        <v>182</v>
      </c>
      <c r="B138" s="3">
        <v>232.53</v>
      </c>
      <c r="C138" s="3">
        <v>59.22</v>
      </c>
      <c r="D138" s="5">
        <v>3</v>
      </c>
    </row>
    <row r="139" spans="1:4" x14ac:dyDescent="0.3">
      <c r="A139" s="7" t="s">
        <v>183</v>
      </c>
      <c r="B139" s="3">
        <v>504.3</v>
      </c>
      <c r="C139" s="3">
        <v>50.94</v>
      </c>
      <c r="D139" s="5">
        <v>5</v>
      </c>
    </row>
    <row r="140" spans="1:4" x14ac:dyDescent="0.3">
      <c r="A140" s="7" t="s">
        <v>184</v>
      </c>
      <c r="B140" s="3">
        <v>1775.16</v>
      </c>
      <c r="C140" s="3">
        <v>402.25</v>
      </c>
      <c r="D140" s="5">
        <v>4</v>
      </c>
    </row>
    <row r="141" spans="1:4" x14ac:dyDescent="0.3">
      <c r="A141" s="7" t="s">
        <v>185</v>
      </c>
      <c r="B141" s="3">
        <v>10053.66</v>
      </c>
      <c r="C141" s="3">
        <v>3796.98</v>
      </c>
      <c r="D141" s="5">
        <v>6</v>
      </c>
    </row>
    <row r="142" spans="1:4" x14ac:dyDescent="0.3">
      <c r="A142" s="7" t="s">
        <v>186</v>
      </c>
      <c r="B142" s="3">
        <v>3740.88</v>
      </c>
      <c r="C142" s="3">
        <v>1307.01</v>
      </c>
      <c r="D142" s="5">
        <v>2</v>
      </c>
    </row>
    <row r="143" spans="1:4" x14ac:dyDescent="0.3">
      <c r="A143" s="7" t="s">
        <v>187</v>
      </c>
      <c r="B143" s="3">
        <v>332240.12</v>
      </c>
      <c r="C143" s="3">
        <v>51023.32</v>
      </c>
      <c r="D143" s="5">
        <v>6</v>
      </c>
    </row>
    <row r="144" spans="1:4" x14ac:dyDescent="0.3">
      <c r="A144" s="7" t="s">
        <v>188</v>
      </c>
      <c r="B144" s="3">
        <v>38295.35</v>
      </c>
      <c r="C144" s="3">
        <v>11633.81</v>
      </c>
      <c r="D144" s="5">
        <v>5</v>
      </c>
    </row>
    <row r="145" spans="1:4" x14ac:dyDescent="0.3">
      <c r="A145" s="7" t="s">
        <v>189</v>
      </c>
      <c r="B145" s="3">
        <v>10381.64</v>
      </c>
      <c r="C145" s="3">
        <v>1989.45</v>
      </c>
      <c r="D145" s="5">
        <v>6</v>
      </c>
    </row>
    <row r="146" spans="1:4" x14ac:dyDescent="0.3">
      <c r="A146" s="7" t="s">
        <v>190</v>
      </c>
      <c r="B146" s="3">
        <v>12046.54</v>
      </c>
      <c r="C146" s="3">
        <v>2941.16</v>
      </c>
      <c r="D146" s="5">
        <v>1</v>
      </c>
    </row>
    <row r="147" spans="1:4" x14ac:dyDescent="0.3">
      <c r="A147" s="7" t="s">
        <v>191</v>
      </c>
      <c r="B147" s="3">
        <v>138273.35</v>
      </c>
      <c r="C147" s="3">
        <v>23036.09</v>
      </c>
      <c r="D147" s="5">
        <v>3</v>
      </c>
    </row>
    <row r="148" spans="1:4" x14ac:dyDescent="0.3">
      <c r="A148" s="7" t="s">
        <v>192</v>
      </c>
      <c r="B148" s="3">
        <v>1578.74</v>
      </c>
      <c r="C148" s="3">
        <v>438.69</v>
      </c>
      <c r="D148" s="5">
        <v>4</v>
      </c>
    </row>
    <row r="149" spans="1:4" x14ac:dyDescent="0.3">
      <c r="A149" s="7" t="s">
        <v>193</v>
      </c>
      <c r="B149" s="3">
        <v>26017.74</v>
      </c>
      <c r="C149" s="3">
        <v>11358.41</v>
      </c>
      <c r="D149" s="5">
        <v>2</v>
      </c>
    </row>
    <row r="150" spans="1:4" x14ac:dyDescent="0.3">
      <c r="A150" s="7" t="s">
        <v>194</v>
      </c>
      <c r="B150" s="3">
        <v>9320.2199999999993</v>
      </c>
      <c r="C150" s="3">
        <v>3021.78</v>
      </c>
      <c r="D150" s="5">
        <v>7</v>
      </c>
    </row>
    <row r="151" spans="1:4" x14ac:dyDescent="0.3">
      <c r="A151" s="7" t="s">
        <v>195</v>
      </c>
      <c r="B151" s="3">
        <v>474.99</v>
      </c>
      <c r="C151" s="3">
        <v>66.989999999999995</v>
      </c>
      <c r="D151" s="5">
        <v>7</v>
      </c>
    </row>
    <row r="152" spans="1:4" x14ac:dyDescent="0.3">
      <c r="A152" s="7" t="s">
        <v>200</v>
      </c>
      <c r="B152" s="3">
        <v>5460591.7799999993</v>
      </c>
      <c r="C152" s="3">
        <v>1433347.7099999997</v>
      </c>
      <c r="D152" s="5">
        <v>634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0AC6-4CBA-4615-BB81-FA374497207B}">
  <dimension ref="A3:B17"/>
  <sheetViews>
    <sheetView workbookViewId="0">
      <selection activeCell="A7" sqref="A7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3" spans="1:2" x14ac:dyDescent="0.3">
      <c r="A3" s="6" t="s">
        <v>199</v>
      </c>
      <c r="B3" t="s">
        <v>196</v>
      </c>
    </row>
    <row r="4" spans="1:2" x14ac:dyDescent="0.3">
      <c r="A4" s="7" t="s">
        <v>213</v>
      </c>
      <c r="B4" s="3">
        <v>5460591.7799999984</v>
      </c>
    </row>
    <row r="5" spans="1:2" x14ac:dyDescent="0.3">
      <c r="A5" s="8" t="s">
        <v>201</v>
      </c>
      <c r="B5" s="3">
        <v>344903.23</v>
      </c>
    </row>
    <row r="6" spans="1:2" x14ac:dyDescent="0.3">
      <c r="A6" s="8" t="s">
        <v>202</v>
      </c>
      <c r="B6" s="3">
        <v>398549.76000000001</v>
      </c>
    </row>
    <row r="7" spans="1:2" x14ac:dyDescent="0.3">
      <c r="A7" s="8" t="s">
        <v>203</v>
      </c>
      <c r="B7" s="3">
        <v>649722.27</v>
      </c>
    </row>
    <row r="8" spans="1:2" x14ac:dyDescent="0.3">
      <c r="A8" s="8" t="s">
        <v>204</v>
      </c>
      <c r="B8" s="3">
        <v>155981.87</v>
      </c>
    </row>
    <row r="9" spans="1:2" x14ac:dyDescent="0.3">
      <c r="A9" s="8" t="s">
        <v>205</v>
      </c>
      <c r="B9" s="3">
        <v>140901.29</v>
      </c>
    </row>
    <row r="10" spans="1:2" x14ac:dyDescent="0.3">
      <c r="A10" s="8" t="s">
        <v>206</v>
      </c>
      <c r="B10" s="3">
        <v>621078.84</v>
      </c>
    </row>
    <row r="11" spans="1:2" x14ac:dyDescent="0.3">
      <c r="A11" s="8" t="s">
        <v>207</v>
      </c>
      <c r="B11" s="3">
        <v>189496.63000000003</v>
      </c>
    </row>
    <row r="12" spans="1:2" x14ac:dyDescent="0.3">
      <c r="A12" s="8" t="s">
        <v>208</v>
      </c>
      <c r="B12" s="3">
        <v>781745.54999999993</v>
      </c>
    </row>
    <row r="13" spans="1:2" x14ac:dyDescent="0.3">
      <c r="A13" s="8" t="s">
        <v>209</v>
      </c>
      <c r="B13" s="3">
        <v>675182.6399999999</v>
      </c>
    </row>
    <row r="14" spans="1:2" x14ac:dyDescent="0.3">
      <c r="A14" s="8" t="s">
        <v>210</v>
      </c>
      <c r="B14" s="3">
        <v>1008637.3</v>
      </c>
    </row>
    <row r="15" spans="1:2" x14ac:dyDescent="0.3">
      <c r="A15" s="8" t="s">
        <v>211</v>
      </c>
      <c r="B15" s="3">
        <v>225821.02000000002</v>
      </c>
    </row>
    <row r="16" spans="1:2" x14ac:dyDescent="0.3">
      <c r="A16" s="8" t="s">
        <v>212</v>
      </c>
      <c r="B16" s="3">
        <v>268571.38</v>
      </c>
    </row>
    <row r="17" spans="1:2" x14ac:dyDescent="0.3">
      <c r="A17" s="7" t="s">
        <v>200</v>
      </c>
      <c r="B17" s="3">
        <v>5460591.7799999984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DE21-FC65-43C0-A4C8-38634846665B}">
  <dimension ref="A3:B8"/>
  <sheetViews>
    <sheetView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3" spans="1:2" x14ac:dyDescent="0.3">
      <c r="A3" s="6" t="s">
        <v>199</v>
      </c>
      <c r="B3" t="s">
        <v>196</v>
      </c>
    </row>
    <row r="4" spans="1:2" x14ac:dyDescent="0.3">
      <c r="A4" s="7" t="s">
        <v>14</v>
      </c>
      <c r="B4" s="3">
        <v>840325.03000000014</v>
      </c>
    </row>
    <row r="5" spans="1:2" x14ac:dyDescent="0.3">
      <c r="A5" s="7" t="s">
        <v>20</v>
      </c>
      <c r="B5" s="3">
        <v>1414962.0100000002</v>
      </c>
    </row>
    <row r="6" spans="1:2" x14ac:dyDescent="0.3">
      <c r="A6" s="7" t="s">
        <v>24</v>
      </c>
      <c r="B6" s="3">
        <v>1485710.9500000002</v>
      </c>
    </row>
    <row r="7" spans="1:2" x14ac:dyDescent="0.3">
      <c r="A7" s="7" t="s">
        <v>59</v>
      </c>
      <c r="B7" s="3">
        <v>1719593.7899999998</v>
      </c>
    </row>
    <row r="8" spans="1:2" x14ac:dyDescent="0.3">
      <c r="A8" s="7" t="s">
        <v>200</v>
      </c>
      <c r="B8" s="3">
        <v>5460591.7800000003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74A9F-DECF-4EF7-A0A5-221821379ADC}">
  <dimension ref="A3:B14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3" spans="1:2" x14ac:dyDescent="0.3">
      <c r="A3" s="6" t="s">
        <v>199</v>
      </c>
      <c r="B3" t="s">
        <v>196</v>
      </c>
    </row>
    <row r="4" spans="1:2" x14ac:dyDescent="0.3">
      <c r="A4" s="7" t="s">
        <v>52</v>
      </c>
      <c r="B4" s="3">
        <v>2566650.48</v>
      </c>
    </row>
    <row r="5" spans="1:2" x14ac:dyDescent="0.3">
      <c r="A5" s="7" t="s">
        <v>50</v>
      </c>
      <c r="B5" s="3">
        <v>1119622.5900000001</v>
      </c>
    </row>
    <row r="6" spans="1:2" x14ac:dyDescent="0.3">
      <c r="A6" s="7" t="s">
        <v>46</v>
      </c>
      <c r="B6" s="3">
        <v>649691.22000000009</v>
      </c>
    </row>
    <row r="7" spans="1:2" x14ac:dyDescent="0.3">
      <c r="A7" s="7" t="s">
        <v>87</v>
      </c>
      <c r="B7" s="3">
        <v>495642.30999999994</v>
      </c>
    </row>
    <row r="8" spans="1:2" x14ac:dyDescent="0.3">
      <c r="A8" s="7" t="s">
        <v>26</v>
      </c>
      <c r="B8" s="3">
        <v>347445.22</v>
      </c>
    </row>
    <row r="9" spans="1:2" x14ac:dyDescent="0.3">
      <c r="A9" s="7" t="s">
        <v>16</v>
      </c>
      <c r="B9" s="3">
        <v>152288.82</v>
      </c>
    </row>
    <row r="10" spans="1:2" x14ac:dyDescent="0.3">
      <c r="A10" s="7" t="s">
        <v>37</v>
      </c>
      <c r="B10" s="3">
        <v>86513.37</v>
      </c>
    </row>
    <row r="11" spans="1:2" x14ac:dyDescent="0.3">
      <c r="A11" s="7" t="s">
        <v>42</v>
      </c>
      <c r="B11" s="3">
        <v>29425.040000000005</v>
      </c>
    </row>
    <row r="12" spans="1:2" x14ac:dyDescent="0.3">
      <c r="A12" s="7" t="s">
        <v>29</v>
      </c>
      <c r="B12" s="3">
        <v>9678.3799999999974</v>
      </c>
    </row>
    <row r="13" spans="1:2" x14ac:dyDescent="0.3">
      <c r="A13" s="7" t="s">
        <v>56</v>
      </c>
      <c r="B13" s="3">
        <v>3634.3500000000004</v>
      </c>
    </row>
    <row r="14" spans="1:2" x14ac:dyDescent="0.3">
      <c r="A14" s="7" t="s">
        <v>200</v>
      </c>
      <c r="B14" s="3">
        <v>5460591.7800000003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0155-1E2A-4B2A-BB02-ADD0A793DAC3}">
  <dimension ref="A3:B8"/>
  <sheetViews>
    <sheetView workbookViewId="0">
      <selection activeCell="O20" sqref="O20"/>
    </sheetView>
  </sheetViews>
  <sheetFormatPr defaultRowHeight="14.4" x14ac:dyDescent="0.3"/>
  <cols>
    <col min="1" max="1" width="12.5546875" bestFit="1" customWidth="1"/>
    <col min="2" max="2" width="12.6640625" bestFit="1" customWidth="1"/>
  </cols>
  <sheetData>
    <row r="3" spans="1:2" x14ac:dyDescent="0.3">
      <c r="A3" s="6" t="s">
        <v>199</v>
      </c>
      <c r="B3" t="s">
        <v>196</v>
      </c>
    </row>
    <row r="4" spans="1:2" x14ac:dyDescent="0.3">
      <c r="A4" s="7" t="s">
        <v>38</v>
      </c>
      <c r="B4" s="3">
        <v>115938.40999999997</v>
      </c>
    </row>
    <row r="5" spans="1:2" x14ac:dyDescent="0.3">
      <c r="A5" s="7" t="s">
        <v>17</v>
      </c>
      <c r="B5" s="3">
        <v>4334204.2</v>
      </c>
    </row>
    <row r="6" spans="1:2" x14ac:dyDescent="0.3">
      <c r="A6" s="7" t="s">
        <v>27</v>
      </c>
      <c r="B6" s="3">
        <v>997136.44</v>
      </c>
    </row>
    <row r="7" spans="1:2" x14ac:dyDescent="0.3">
      <c r="A7" s="7" t="s">
        <v>30</v>
      </c>
      <c r="B7" s="3">
        <v>13312.73</v>
      </c>
    </row>
    <row r="8" spans="1:2" x14ac:dyDescent="0.3">
      <c r="A8" s="7" t="s">
        <v>200</v>
      </c>
      <c r="B8" s="3">
        <v>5460591.7800000012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36EB3-ED61-4949-A5CE-FF32010565EF}">
  <dimension ref="A1:AB24"/>
  <sheetViews>
    <sheetView showGridLines="0" tabSelected="1" zoomScale="62" workbookViewId="0">
      <selection activeCell="X36" sqref="X36"/>
    </sheetView>
  </sheetViews>
  <sheetFormatPr defaultRowHeight="14.4" x14ac:dyDescent="0.3"/>
  <cols>
    <col min="1" max="1" width="20.44140625" bestFit="1" customWidth="1"/>
    <col min="10" max="10" width="20.44140625" bestFit="1" customWidth="1"/>
    <col min="19" max="19" width="12.44140625" bestFit="1" customWidth="1"/>
  </cols>
  <sheetData>
    <row r="1" spans="1:28" ht="25.8" x14ac:dyDescent="0.5">
      <c r="A1" s="9" t="s">
        <v>214</v>
      </c>
      <c r="B1" s="9"/>
      <c r="C1" s="9"/>
    </row>
    <row r="3" spans="1:28" ht="21" x14ac:dyDescent="0.4">
      <c r="A3" s="10" t="s">
        <v>215</v>
      </c>
      <c r="B3" s="10"/>
      <c r="J3" s="10" t="s">
        <v>216</v>
      </c>
      <c r="S3" s="10" t="s">
        <v>217</v>
      </c>
      <c r="AB3" s="10" t="s">
        <v>218</v>
      </c>
    </row>
    <row r="5" spans="1:28" ht="21" x14ac:dyDescent="0.4">
      <c r="A5" s="11">
        <f>SUM(Sales_Data!J:J)</f>
        <v>5460591.7799999993</v>
      </c>
      <c r="B5" s="12"/>
      <c r="J5" s="11">
        <f>SUM(Sales_Data!L:L)</f>
        <v>1433347.7099999997</v>
      </c>
      <c r="K5" s="11"/>
      <c r="S5" s="13">
        <f>COUNTA(Sales_Data!A:A)-1</f>
        <v>150</v>
      </c>
      <c r="T5" s="11"/>
      <c r="Z5" s="10">
        <f>SUM(Sales_Data!G:G)</f>
        <v>634</v>
      </c>
      <c r="AA5" s="13"/>
    </row>
    <row r="23" spans="1:2" ht="21" x14ac:dyDescent="0.4">
      <c r="B23" s="10"/>
    </row>
    <row r="24" spans="1:2" ht="21" x14ac:dyDescent="0.4">
      <c r="A24" s="13"/>
      <c r="B24" s="1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2" width="14" customWidth="1"/>
    <col min="3" max="3" width="12" customWidth="1"/>
    <col min="4" max="4" width="16" customWidth="1"/>
    <col min="5" max="5" width="18" customWidth="1"/>
    <col min="6" max="6" width="16" customWidth="1"/>
    <col min="7" max="7" width="12" customWidth="1"/>
    <col min="8" max="8" width="14" customWidth="1"/>
    <col min="9" max="9" width="12" customWidth="1"/>
    <col min="10" max="12" width="14" customWidth="1"/>
    <col min="13" max="13" width="18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45985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s="3">
        <v>1696.19</v>
      </c>
      <c r="I2" s="4">
        <v>0</v>
      </c>
      <c r="J2" s="3">
        <v>1696.19</v>
      </c>
      <c r="K2" s="3">
        <v>979.84</v>
      </c>
      <c r="L2" s="3">
        <v>716.35</v>
      </c>
      <c r="M2" t="s">
        <v>18</v>
      </c>
    </row>
    <row r="3" spans="1:13" x14ac:dyDescent="0.3">
      <c r="A3" t="s">
        <v>19</v>
      </c>
      <c r="B3" s="2">
        <v>45937</v>
      </c>
      <c r="C3" t="s">
        <v>20</v>
      </c>
      <c r="D3" t="s">
        <v>21</v>
      </c>
      <c r="E3" t="s">
        <v>16</v>
      </c>
      <c r="F3" t="s">
        <v>17</v>
      </c>
      <c r="G3">
        <v>7</v>
      </c>
      <c r="H3" s="3">
        <v>1718.97</v>
      </c>
      <c r="I3" s="4">
        <v>0</v>
      </c>
      <c r="J3" s="3">
        <v>12032.79</v>
      </c>
      <c r="K3" s="3">
        <v>8259.86</v>
      </c>
      <c r="L3" s="3">
        <v>3772.93</v>
      </c>
      <c r="M3" t="s">
        <v>22</v>
      </c>
    </row>
    <row r="4" spans="1:13" x14ac:dyDescent="0.3">
      <c r="A4" t="s">
        <v>23</v>
      </c>
      <c r="B4" s="2">
        <v>45945</v>
      </c>
      <c r="C4" t="s">
        <v>24</v>
      </c>
      <c r="D4" t="s">
        <v>25</v>
      </c>
      <c r="E4" t="s">
        <v>26</v>
      </c>
      <c r="F4" t="s">
        <v>27</v>
      </c>
      <c r="G4">
        <v>7</v>
      </c>
      <c r="H4" s="3">
        <v>6269.32</v>
      </c>
      <c r="I4" s="4">
        <v>0.15</v>
      </c>
      <c r="J4" s="3">
        <v>37302.449999999997</v>
      </c>
      <c r="K4" s="3">
        <v>34437.230000000003</v>
      </c>
      <c r="L4" s="3">
        <v>2865.22</v>
      </c>
      <c r="M4" t="s">
        <v>22</v>
      </c>
    </row>
    <row r="5" spans="1:13" x14ac:dyDescent="0.3">
      <c r="A5" t="s">
        <v>28</v>
      </c>
      <c r="B5" s="2">
        <v>46015</v>
      </c>
      <c r="C5" t="s">
        <v>14</v>
      </c>
      <c r="D5" t="s">
        <v>15</v>
      </c>
      <c r="E5" t="s">
        <v>29</v>
      </c>
      <c r="F5" t="s">
        <v>30</v>
      </c>
      <c r="G5">
        <v>6</v>
      </c>
      <c r="H5" s="3">
        <v>128.78</v>
      </c>
      <c r="I5" s="4">
        <v>0</v>
      </c>
      <c r="J5" s="3">
        <v>772.68</v>
      </c>
      <c r="K5" s="3">
        <v>495.2</v>
      </c>
      <c r="L5" s="3">
        <v>277.48</v>
      </c>
      <c r="M5" t="s">
        <v>22</v>
      </c>
    </row>
    <row r="6" spans="1:13" x14ac:dyDescent="0.3">
      <c r="A6" t="s">
        <v>31</v>
      </c>
      <c r="B6" s="2">
        <v>45852</v>
      </c>
      <c r="C6" t="s">
        <v>14</v>
      </c>
      <c r="D6" t="s">
        <v>32</v>
      </c>
      <c r="E6" t="s">
        <v>16</v>
      </c>
      <c r="F6" t="s">
        <v>17</v>
      </c>
      <c r="G6">
        <v>6</v>
      </c>
      <c r="H6" s="3">
        <v>1888.45</v>
      </c>
      <c r="I6" s="4">
        <v>0.05</v>
      </c>
      <c r="J6" s="3">
        <v>10764.17</v>
      </c>
      <c r="K6" s="3">
        <v>8464.35</v>
      </c>
      <c r="L6" s="3">
        <v>2299.8200000000002</v>
      </c>
      <c r="M6" t="s">
        <v>18</v>
      </c>
    </row>
    <row r="7" spans="1:13" x14ac:dyDescent="0.3">
      <c r="A7" t="s">
        <v>33</v>
      </c>
      <c r="B7" s="2">
        <v>45721</v>
      </c>
      <c r="C7" t="s">
        <v>14</v>
      </c>
      <c r="D7" t="s">
        <v>32</v>
      </c>
      <c r="E7" t="s">
        <v>29</v>
      </c>
      <c r="F7" t="s">
        <v>30</v>
      </c>
      <c r="G7">
        <v>2</v>
      </c>
      <c r="H7" s="3">
        <v>127.4</v>
      </c>
      <c r="I7" s="4">
        <v>0.15</v>
      </c>
      <c r="J7" s="3">
        <v>216.58</v>
      </c>
      <c r="K7" s="3">
        <v>165.02</v>
      </c>
      <c r="L7" s="3">
        <v>51.56</v>
      </c>
      <c r="M7" t="s">
        <v>22</v>
      </c>
    </row>
    <row r="8" spans="1:13" x14ac:dyDescent="0.3">
      <c r="A8" t="s">
        <v>34</v>
      </c>
      <c r="B8" s="2">
        <v>46018</v>
      </c>
      <c r="C8" t="s">
        <v>24</v>
      </c>
      <c r="D8" t="s">
        <v>25</v>
      </c>
      <c r="E8" t="s">
        <v>16</v>
      </c>
      <c r="F8" t="s">
        <v>17</v>
      </c>
      <c r="G8">
        <v>1</v>
      </c>
      <c r="H8" s="3">
        <v>1902.33</v>
      </c>
      <c r="I8" s="4">
        <v>0</v>
      </c>
      <c r="J8" s="3">
        <v>1902.33</v>
      </c>
      <c r="K8" s="3">
        <v>1491.33</v>
      </c>
      <c r="L8" s="3">
        <v>411</v>
      </c>
      <c r="M8" t="s">
        <v>35</v>
      </c>
    </row>
    <row r="9" spans="1:13" x14ac:dyDescent="0.3">
      <c r="A9" t="s">
        <v>36</v>
      </c>
      <c r="B9" s="2">
        <v>45800</v>
      </c>
      <c r="C9" t="s">
        <v>24</v>
      </c>
      <c r="D9" t="s">
        <v>25</v>
      </c>
      <c r="E9" t="s">
        <v>37</v>
      </c>
      <c r="F9" t="s">
        <v>38</v>
      </c>
      <c r="G9">
        <v>6</v>
      </c>
      <c r="H9" s="3">
        <v>1430.28</v>
      </c>
      <c r="I9" s="4">
        <v>0.05</v>
      </c>
      <c r="J9" s="3">
        <v>8152.6</v>
      </c>
      <c r="K9" s="3">
        <v>5338.53</v>
      </c>
      <c r="L9" s="3">
        <v>2814.07</v>
      </c>
      <c r="M9" t="s">
        <v>18</v>
      </c>
    </row>
    <row r="10" spans="1:13" x14ac:dyDescent="0.3">
      <c r="A10" t="s">
        <v>39</v>
      </c>
      <c r="B10" s="2">
        <v>45989</v>
      </c>
      <c r="C10" t="s">
        <v>24</v>
      </c>
      <c r="D10" t="s">
        <v>40</v>
      </c>
      <c r="E10" t="s">
        <v>16</v>
      </c>
      <c r="F10" t="s">
        <v>17</v>
      </c>
      <c r="G10">
        <v>3</v>
      </c>
      <c r="H10" s="3">
        <v>1765.28</v>
      </c>
      <c r="I10" s="4">
        <v>0.1</v>
      </c>
      <c r="J10" s="3">
        <v>4766.26</v>
      </c>
      <c r="K10" s="3">
        <v>4327.6099999999997</v>
      </c>
      <c r="L10" s="3">
        <v>438.65</v>
      </c>
      <c r="M10" t="s">
        <v>18</v>
      </c>
    </row>
    <row r="11" spans="1:13" x14ac:dyDescent="0.3">
      <c r="A11" t="s">
        <v>41</v>
      </c>
      <c r="B11" s="2">
        <v>46010</v>
      </c>
      <c r="C11" t="s">
        <v>14</v>
      </c>
      <c r="D11" t="s">
        <v>15</v>
      </c>
      <c r="E11" t="s">
        <v>42</v>
      </c>
      <c r="F11" t="s">
        <v>38</v>
      </c>
      <c r="G11">
        <v>4</v>
      </c>
      <c r="H11" s="3">
        <v>473.17</v>
      </c>
      <c r="I11" s="4">
        <v>0</v>
      </c>
      <c r="J11" s="3">
        <v>1892.68</v>
      </c>
      <c r="K11" s="3">
        <v>1452.37</v>
      </c>
      <c r="L11" s="3">
        <v>440.31</v>
      </c>
      <c r="M11" t="s">
        <v>35</v>
      </c>
    </row>
    <row r="12" spans="1:13" x14ac:dyDescent="0.3">
      <c r="A12" t="s">
        <v>43</v>
      </c>
      <c r="B12" s="2">
        <v>45795</v>
      </c>
      <c r="C12" t="s">
        <v>14</v>
      </c>
      <c r="D12" t="s">
        <v>15</v>
      </c>
      <c r="E12" t="s">
        <v>16</v>
      </c>
      <c r="F12" t="s">
        <v>17</v>
      </c>
      <c r="G12">
        <v>4</v>
      </c>
      <c r="H12" s="3">
        <v>1769.94</v>
      </c>
      <c r="I12" s="4">
        <v>0.1</v>
      </c>
      <c r="J12" s="3">
        <v>6371.78</v>
      </c>
      <c r="K12" s="3">
        <v>5642.06</v>
      </c>
      <c r="L12" s="3">
        <v>729.72</v>
      </c>
      <c r="M12" t="s">
        <v>35</v>
      </c>
    </row>
    <row r="13" spans="1:13" x14ac:dyDescent="0.3">
      <c r="A13" t="s">
        <v>44</v>
      </c>
      <c r="B13" s="2">
        <v>45731</v>
      </c>
      <c r="C13" t="s">
        <v>24</v>
      </c>
      <c r="D13" t="s">
        <v>45</v>
      </c>
      <c r="E13" t="s">
        <v>46</v>
      </c>
      <c r="F13" t="s">
        <v>27</v>
      </c>
      <c r="G13">
        <v>3</v>
      </c>
      <c r="H13" s="3">
        <v>9056.1299999999992</v>
      </c>
      <c r="I13" s="4">
        <v>0.15</v>
      </c>
      <c r="J13" s="3">
        <v>23093.13</v>
      </c>
      <c r="K13" s="3">
        <v>20422.310000000001</v>
      </c>
      <c r="L13" s="3">
        <v>2670.82</v>
      </c>
      <c r="M13" t="s">
        <v>35</v>
      </c>
    </row>
    <row r="14" spans="1:13" x14ac:dyDescent="0.3">
      <c r="A14" t="s">
        <v>47</v>
      </c>
      <c r="B14" s="2">
        <v>45956</v>
      </c>
      <c r="C14" t="s">
        <v>24</v>
      </c>
      <c r="D14" t="s">
        <v>40</v>
      </c>
      <c r="E14" t="s">
        <v>29</v>
      </c>
      <c r="F14" t="s">
        <v>30</v>
      </c>
      <c r="G14">
        <v>6</v>
      </c>
      <c r="H14" s="3">
        <v>119.88</v>
      </c>
      <c r="I14" s="4">
        <v>0.15</v>
      </c>
      <c r="J14" s="3">
        <v>611.39</v>
      </c>
      <c r="K14" s="3">
        <v>542.38</v>
      </c>
      <c r="L14" s="3">
        <v>69.010000000000005</v>
      </c>
      <c r="M14" t="s">
        <v>22</v>
      </c>
    </row>
    <row r="15" spans="1:13" x14ac:dyDescent="0.3">
      <c r="A15" t="s">
        <v>48</v>
      </c>
      <c r="B15" s="2">
        <v>45736</v>
      </c>
      <c r="C15" t="s">
        <v>20</v>
      </c>
      <c r="D15" t="s">
        <v>49</v>
      </c>
      <c r="E15" t="s">
        <v>50</v>
      </c>
      <c r="F15" t="s">
        <v>17</v>
      </c>
      <c r="G15">
        <v>7</v>
      </c>
      <c r="H15" s="3">
        <v>22337.53</v>
      </c>
      <c r="I15" s="4">
        <v>0.1</v>
      </c>
      <c r="J15" s="3">
        <v>140726.44</v>
      </c>
      <c r="K15" s="3">
        <v>105759.59</v>
      </c>
      <c r="L15" s="3">
        <v>34966.85</v>
      </c>
      <c r="M15" t="s">
        <v>35</v>
      </c>
    </row>
    <row r="16" spans="1:13" x14ac:dyDescent="0.3">
      <c r="A16" t="s">
        <v>51</v>
      </c>
      <c r="B16" s="2">
        <v>45941</v>
      </c>
      <c r="C16" t="s">
        <v>14</v>
      </c>
      <c r="D16" t="s">
        <v>32</v>
      </c>
      <c r="E16" t="s">
        <v>52</v>
      </c>
      <c r="F16" t="s">
        <v>17</v>
      </c>
      <c r="G16">
        <v>2</v>
      </c>
      <c r="H16" s="3">
        <v>51581.66</v>
      </c>
      <c r="I16" s="4">
        <v>0.05</v>
      </c>
      <c r="J16" s="3">
        <v>98005.15</v>
      </c>
      <c r="K16" s="3">
        <v>68849.820000000007</v>
      </c>
      <c r="L16" s="3">
        <v>29155.33</v>
      </c>
      <c r="M16" t="s">
        <v>35</v>
      </c>
    </row>
    <row r="17" spans="1:13" x14ac:dyDescent="0.3">
      <c r="A17" t="s">
        <v>53</v>
      </c>
      <c r="B17" s="2">
        <v>45659</v>
      </c>
      <c r="C17" t="s">
        <v>20</v>
      </c>
      <c r="D17" t="s">
        <v>54</v>
      </c>
      <c r="E17" t="s">
        <v>46</v>
      </c>
      <c r="F17" t="s">
        <v>27</v>
      </c>
      <c r="G17">
        <v>3</v>
      </c>
      <c r="H17" s="3">
        <v>9492</v>
      </c>
      <c r="I17" s="4">
        <v>0.05</v>
      </c>
      <c r="J17" s="3">
        <v>27052.2</v>
      </c>
      <c r="K17" s="3">
        <v>19564.98</v>
      </c>
      <c r="L17" s="3">
        <v>7487.22</v>
      </c>
      <c r="M17" t="s">
        <v>22</v>
      </c>
    </row>
    <row r="18" spans="1:13" x14ac:dyDescent="0.3">
      <c r="A18" t="s">
        <v>55</v>
      </c>
      <c r="B18" s="2">
        <v>45736</v>
      </c>
      <c r="C18" t="s">
        <v>20</v>
      </c>
      <c r="D18" t="s">
        <v>54</v>
      </c>
      <c r="E18" t="s">
        <v>56</v>
      </c>
      <c r="F18" t="s">
        <v>30</v>
      </c>
      <c r="G18">
        <v>3</v>
      </c>
      <c r="H18" s="3">
        <v>79.849999999999994</v>
      </c>
      <c r="I18" s="4">
        <v>0.05</v>
      </c>
      <c r="J18" s="3">
        <v>227.57</v>
      </c>
      <c r="K18" s="3">
        <v>138.99</v>
      </c>
      <c r="L18" s="3">
        <v>88.58</v>
      </c>
      <c r="M18" t="s">
        <v>35</v>
      </c>
    </row>
    <row r="19" spans="1:13" x14ac:dyDescent="0.3">
      <c r="A19" t="s">
        <v>57</v>
      </c>
      <c r="B19" s="2">
        <v>45815</v>
      </c>
      <c r="C19" t="s">
        <v>24</v>
      </c>
      <c r="D19" t="s">
        <v>45</v>
      </c>
      <c r="E19" t="s">
        <v>26</v>
      </c>
      <c r="F19" t="s">
        <v>27</v>
      </c>
      <c r="G19">
        <v>1</v>
      </c>
      <c r="H19" s="3">
        <v>6069.08</v>
      </c>
      <c r="I19" s="4">
        <v>0</v>
      </c>
      <c r="J19" s="3">
        <v>6069.08</v>
      </c>
      <c r="K19" s="3">
        <v>4134.3599999999997</v>
      </c>
      <c r="L19" s="3">
        <v>1934.72</v>
      </c>
      <c r="M19" t="s">
        <v>22</v>
      </c>
    </row>
    <row r="20" spans="1:13" x14ac:dyDescent="0.3">
      <c r="A20" t="s">
        <v>58</v>
      </c>
      <c r="B20" s="2">
        <v>45930</v>
      </c>
      <c r="C20" t="s">
        <v>59</v>
      </c>
      <c r="D20" t="s">
        <v>60</v>
      </c>
      <c r="E20" t="s">
        <v>50</v>
      </c>
      <c r="F20" t="s">
        <v>17</v>
      </c>
      <c r="G20">
        <v>3</v>
      </c>
      <c r="H20" s="3">
        <v>21173</v>
      </c>
      <c r="I20" s="4">
        <v>0</v>
      </c>
      <c r="J20" s="3">
        <v>63519</v>
      </c>
      <c r="K20" s="3">
        <v>49897.79</v>
      </c>
      <c r="L20" s="3">
        <v>13621.21</v>
      </c>
      <c r="M20" t="s">
        <v>35</v>
      </c>
    </row>
    <row r="21" spans="1:13" x14ac:dyDescent="0.3">
      <c r="A21" t="s">
        <v>61</v>
      </c>
      <c r="B21" s="2">
        <v>45766</v>
      </c>
      <c r="C21" t="s">
        <v>14</v>
      </c>
      <c r="D21" t="s">
        <v>62</v>
      </c>
      <c r="E21" t="s">
        <v>42</v>
      </c>
      <c r="F21" t="s">
        <v>38</v>
      </c>
      <c r="G21">
        <v>4</v>
      </c>
      <c r="H21" s="3">
        <v>445.54</v>
      </c>
      <c r="I21" s="4">
        <v>0.05</v>
      </c>
      <c r="J21" s="3">
        <v>1693.05</v>
      </c>
      <c r="K21" s="3">
        <v>1229.24</v>
      </c>
      <c r="L21" s="3">
        <v>463.81</v>
      </c>
      <c r="M21" t="s">
        <v>22</v>
      </c>
    </row>
    <row r="22" spans="1:13" x14ac:dyDescent="0.3">
      <c r="A22" t="s">
        <v>63</v>
      </c>
      <c r="B22" s="2">
        <v>45784</v>
      </c>
      <c r="C22" t="s">
        <v>14</v>
      </c>
      <c r="D22" t="s">
        <v>15</v>
      </c>
      <c r="E22" t="s">
        <v>26</v>
      </c>
      <c r="F22" t="s">
        <v>27</v>
      </c>
      <c r="G22">
        <v>2</v>
      </c>
      <c r="H22" s="3">
        <v>6556.08</v>
      </c>
      <c r="I22" s="4">
        <v>0.15</v>
      </c>
      <c r="J22" s="3">
        <v>11145.34</v>
      </c>
      <c r="K22" s="3">
        <v>9294.93</v>
      </c>
      <c r="L22" s="3">
        <v>1850.41</v>
      </c>
      <c r="M22" t="s">
        <v>22</v>
      </c>
    </row>
    <row r="23" spans="1:13" x14ac:dyDescent="0.3">
      <c r="A23" t="s">
        <v>64</v>
      </c>
      <c r="B23" s="2">
        <v>45694</v>
      </c>
      <c r="C23" t="s">
        <v>20</v>
      </c>
      <c r="D23" t="s">
        <v>21</v>
      </c>
      <c r="E23" t="s">
        <v>52</v>
      </c>
      <c r="F23" t="s">
        <v>17</v>
      </c>
      <c r="G23">
        <v>4</v>
      </c>
      <c r="H23" s="3">
        <v>51223.54</v>
      </c>
      <c r="I23" s="4">
        <v>0.05</v>
      </c>
      <c r="J23" s="3">
        <v>194649.45</v>
      </c>
      <c r="K23" s="3">
        <v>125858.54</v>
      </c>
      <c r="L23" s="3">
        <v>68790.91</v>
      </c>
      <c r="M23" t="s">
        <v>18</v>
      </c>
    </row>
    <row r="24" spans="1:13" x14ac:dyDescent="0.3">
      <c r="A24" t="s">
        <v>65</v>
      </c>
      <c r="B24" s="2">
        <v>45906</v>
      </c>
      <c r="C24" t="s">
        <v>59</v>
      </c>
      <c r="D24" t="s">
        <v>66</v>
      </c>
      <c r="E24" t="s">
        <v>26</v>
      </c>
      <c r="F24" t="s">
        <v>27</v>
      </c>
      <c r="G24">
        <v>3</v>
      </c>
      <c r="H24" s="3">
        <v>6819.8</v>
      </c>
      <c r="I24" s="4">
        <v>0.1</v>
      </c>
      <c r="J24" s="3">
        <v>18413.46</v>
      </c>
      <c r="K24" s="3">
        <v>12304.5</v>
      </c>
      <c r="L24" s="3">
        <v>6108.96</v>
      </c>
      <c r="M24" t="s">
        <v>22</v>
      </c>
    </row>
    <row r="25" spans="1:13" x14ac:dyDescent="0.3">
      <c r="A25" t="s">
        <v>67</v>
      </c>
      <c r="B25" s="2">
        <v>45995</v>
      </c>
      <c r="C25" t="s">
        <v>59</v>
      </c>
      <c r="D25" t="s">
        <v>68</v>
      </c>
      <c r="E25" t="s">
        <v>29</v>
      </c>
      <c r="F25" t="s">
        <v>30</v>
      </c>
      <c r="G25">
        <v>6</v>
      </c>
      <c r="H25" s="3">
        <v>126.99</v>
      </c>
      <c r="I25" s="4">
        <v>0.1</v>
      </c>
      <c r="J25" s="3">
        <v>685.75</v>
      </c>
      <c r="K25" s="3">
        <v>430.21</v>
      </c>
      <c r="L25" s="3">
        <v>255.54</v>
      </c>
      <c r="M25" t="s">
        <v>18</v>
      </c>
    </row>
    <row r="26" spans="1:13" x14ac:dyDescent="0.3">
      <c r="A26" t="s">
        <v>69</v>
      </c>
      <c r="B26" s="2">
        <v>45988</v>
      </c>
      <c r="C26" t="s">
        <v>59</v>
      </c>
      <c r="D26" t="s">
        <v>60</v>
      </c>
      <c r="E26" t="s">
        <v>16</v>
      </c>
      <c r="F26" t="s">
        <v>17</v>
      </c>
      <c r="G26">
        <v>1</v>
      </c>
      <c r="H26" s="3">
        <v>1886.57</v>
      </c>
      <c r="I26" s="4">
        <v>0.05</v>
      </c>
      <c r="J26" s="3">
        <v>1792.24</v>
      </c>
      <c r="K26" s="3">
        <v>1093.27</v>
      </c>
      <c r="L26" s="3">
        <v>698.97</v>
      </c>
      <c r="M26" t="s">
        <v>22</v>
      </c>
    </row>
    <row r="27" spans="1:13" x14ac:dyDescent="0.3">
      <c r="A27" t="s">
        <v>70</v>
      </c>
      <c r="B27" s="2">
        <v>45755</v>
      </c>
      <c r="C27" t="s">
        <v>24</v>
      </c>
      <c r="D27" t="s">
        <v>25</v>
      </c>
      <c r="E27" t="s">
        <v>42</v>
      </c>
      <c r="F27" t="s">
        <v>38</v>
      </c>
      <c r="G27">
        <v>8</v>
      </c>
      <c r="H27" s="3">
        <v>434.06</v>
      </c>
      <c r="I27" s="4">
        <v>0</v>
      </c>
      <c r="J27" s="3">
        <v>3472.48</v>
      </c>
      <c r="K27" s="3">
        <v>2144.0700000000002</v>
      </c>
      <c r="L27" s="3">
        <v>1328.41</v>
      </c>
      <c r="M27" t="s">
        <v>22</v>
      </c>
    </row>
    <row r="28" spans="1:13" x14ac:dyDescent="0.3">
      <c r="A28" t="s">
        <v>71</v>
      </c>
      <c r="B28" s="2">
        <v>45884</v>
      </c>
      <c r="C28" t="s">
        <v>20</v>
      </c>
      <c r="D28" t="s">
        <v>54</v>
      </c>
      <c r="E28" t="s">
        <v>42</v>
      </c>
      <c r="F28" t="s">
        <v>38</v>
      </c>
      <c r="G28">
        <v>2</v>
      </c>
      <c r="H28" s="3">
        <v>474.19</v>
      </c>
      <c r="I28" s="4">
        <v>0.15</v>
      </c>
      <c r="J28" s="3">
        <v>806.12</v>
      </c>
      <c r="K28" s="3">
        <v>769.73</v>
      </c>
      <c r="L28" s="3">
        <v>36.39</v>
      </c>
      <c r="M28" t="s">
        <v>22</v>
      </c>
    </row>
    <row r="29" spans="1:13" x14ac:dyDescent="0.3">
      <c r="A29" t="s">
        <v>72</v>
      </c>
      <c r="B29" s="2">
        <v>45743</v>
      </c>
      <c r="C29" t="s">
        <v>59</v>
      </c>
      <c r="D29" t="s">
        <v>66</v>
      </c>
      <c r="E29" t="s">
        <v>29</v>
      </c>
      <c r="F29" t="s">
        <v>30</v>
      </c>
      <c r="G29">
        <v>8</v>
      </c>
      <c r="H29" s="3">
        <v>127.73</v>
      </c>
      <c r="I29" s="4">
        <v>0.1</v>
      </c>
      <c r="J29" s="3">
        <v>919.66</v>
      </c>
      <c r="K29" s="3">
        <v>607.42999999999995</v>
      </c>
      <c r="L29" s="3">
        <v>312.23</v>
      </c>
      <c r="M29" t="s">
        <v>22</v>
      </c>
    </row>
    <row r="30" spans="1:13" x14ac:dyDescent="0.3">
      <c r="A30" t="s">
        <v>73</v>
      </c>
      <c r="B30" s="2">
        <v>45857</v>
      </c>
      <c r="C30" t="s">
        <v>14</v>
      </c>
      <c r="D30" t="s">
        <v>62</v>
      </c>
      <c r="E30" t="s">
        <v>46</v>
      </c>
      <c r="F30" t="s">
        <v>27</v>
      </c>
      <c r="G30">
        <v>8</v>
      </c>
      <c r="H30" s="3">
        <v>9233.09</v>
      </c>
      <c r="I30" s="4">
        <v>0.15</v>
      </c>
      <c r="J30" s="3">
        <v>62785.01</v>
      </c>
      <c r="K30" s="3">
        <v>50331.51</v>
      </c>
      <c r="L30" s="3">
        <v>12453.5</v>
      </c>
      <c r="M30" t="s">
        <v>22</v>
      </c>
    </row>
    <row r="31" spans="1:13" x14ac:dyDescent="0.3">
      <c r="A31" t="s">
        <v>74</v>
      </c>
      <c r="B31" s="2">
        <v>45809</v>
      </c>
      <c r="C31" t="s">
        <v>20</v>
      </c>
      <c r="D31" t="s">
        <v>54</v>
      </c>
      <c r="E31" t="s">
        <v>26</v>
      </c>
      <c r="F31" t="s">
        <v>27</v>
      </c>
      <c r="G31">
        <v>1</v>
      </c>
      <c r="H31" s="3">
        <v>6039.45</v>
      </c>
      <c r="I31" s="4">
        <v>0.05</v>
      </c>
      <c r="J31" s="3">
        <v>5737.48</v>
      </c>
      <c r="K31" s="3">
        <v>4274.29</v>
      </c>
      <c r="L31" s="3">
        <v>1463.19</v>
      </c>
      <c r="M31" t="s">
        <v>18</v>
      </c>
    </row>
    <row r="32" spans="1:13" x14ac:dyDescent="0.3">
      <c r="A32" t="s">
        <v>75</v>
      </c>
      <c r="B32" s="2">
        <v>45929</v>
      </c>
      <c r="C32" t="s">
        <v>20</v>
      </c>
      <c r="D32" t="s">
        <v>21</v>
      </c>
      <c r="E32" t="s">
        <v>50</v>
      </c>
      <c r="F32" t="s">
        <v>17</v>
      </c>
      <c r="G32">
        <v>1</v>
      </c>
      <c r="H32" s="3">
        <v>22334.52</v>
      </c>
      <c r="I32" s="4">
        <v>0</v>
      </c>
      <c r="J32" s="3">
        <v>22334.52</v>
      </c>
      <c r="K32" s="3">
        <v>16355.73</v>
      </c>
      <c r="L32" s="3">
        <v>5978.79</v>
      </c>
      <c r="M32" t="s">
        <v>22</v>
      </c>
    </row>
    <row r="33" spans="1:13" x14ac:dyDescent="0.3">
      <c r="A33" t="s">
        <v>76</v>
      </c>
      <c r="B33" s="2">
        <v>45864</v>
      </c>
      <c r="C33" t="s">
        <v>20</v>
      </c>
      <c r="D33" t="s">
        <v>54</v>
      </c>
      <c r="E33" t="s">
        <v>16</v>
      </c>
      <c r="F33" t="s">
        <v>17</v>
      </c>
      <c r="G33">
        <v>4</v>
      </c>
      <c r="H33" s="3">
        <v>1776.74</v>
      </c>
      <c r="I33" s="4">
        <v>0</v>
      </c>
      <c r="J33" s="3">
        <v>7106.96</v>
      </c>
      <c r="K33" s="3">
        <v>5028.82</v>
      </c>
      <c r="L33" s="3">
        <v>2078.14</v>
      </c>
      <c r="M33" t="s">
        <v>18</v>
      </c>
    </row>
    <row r="34" spans="1:13" x14ac:dyDescent="0.3">
      <c r="A34" t="s">
        <v>77</v>
      </c>
      <c r="B34" s="2">
        <v>45819</v>
      </c>
      <c r="C34" t="s">
        <v>14</v>
      </c>
      <c r="D34" t="s">
        <v>15</v>
      </c>
      <c r="E34" t="s">
        <v>46</v>
      </c>
      <c r="F34" t="s">
        <v>27</v>
      </c>
      <c r="G34">
        <v>4</v>
      </c>
      <c r="H34" s="3">
        <v>8849.93</v>
      </c>
      <c r="I34" s="4">
        <v>0.05</v>
      </c>
      <c r="J34" s="3">
        <v>33629.730000000003</v>
      </c>
      <c r="K34" s="3">
        <v>25889.81</v>
      </c>
      <c r="L34" s="3">
        <v>7739.92</v>
      </c>
      <c r="M34" t="s">
        <v>35</v>
      </c>
    </row>
    <row r="35" spans="1:13" x14ac:dyDescent="0.3">
      <c r="A35" t="s">
        <v>78</v>
      </c>
      <c r="B35" s="2">
        <v>45892</v>
      </c>
      <c r="C35" t="s">
        <v>20</v>
      </c>
      <c r="D35" t="s">
        <v>49</v>
      </c>
      <c r="E35" t="s">
        <v>56</v>
      </c>
      <c r="F35" t="s">
        <v>30</v>
      </c>
      <c r="G35">
        <v>2</v>
      </c>
      <c r="H35" s="3">
        <v>86.38</v>
      </c>
      <c r="I35" s="4">
        <v>0.15</v>
      </c>
      <c r="J35" s="3">
        <v>146.85</v>
      </c>
      <c r="K35" s="3">
        <v>141.47999999999999</v>
      </c>
      <c r="L35" s="3">
        <v>5.37</v>
      </c>
      <c r="M35" t="s">
        <v>22</v>
      </c>
    </row>
    <row r="36" spans="1:13" x14ac:dyDescent="0.3">
      <c r="A36" t="s">
        <v>79</v>
      </c>
      <c r="B36" s="2">
        <v>45933</v>
      </c>
      <c r="C36" t="s">
        <v>24</v>
      </c>
      <c r="D36" t="s">
        <v>25</v>
      </c>
      <c r="E36" t="s">
        <v>26</v>
      </c>
      <c r="F36" t="s">
        <v>27</v>
      </c>
      <c r="G36">
        <v>5</v>
      </c>
      <c r="H36" s="3">
        <v>6894.44</v>
      </c>
      <c r="I36" s="4">
        <v>0</v>
      </c>
      <c r="J36" s="3">
        <v>34472.199999999997</v>
      </c>
      <c r="K36" s="3">
        <v>22399.08</v>
      </c>
      <c r="L36" s="3">
        <v>12073.12</v>
      </c>
      <c r="M36" t="s">
        <v>22</v>
      </c>
    </row>
    <row r="37" spans="1:13" x14ac:dyDescent="0.3">
      <c r="A37" t="s">
        <v>80</v>
      </c>
      <c r="B37" s="2">
        <v>45882</v>
      </c>
      <c r="C37" t="s">
        <v>20</v>
      </c>
      <c r="D37" t="s">
        <v>54</v>
      </c>
      <c r="E37" t="s">
        <v>42</v>
      </c>
      <c r="F37" t="s">
        <v>38</v>
      </c>
      <c r="G37">
        <v>5</v>
      </c>
      <c r="H37" s="3">
        <v>435.56</v>
      </c>
      <c r="I37" s="4">
        <v>0.15</v>
      </c>
      <c r="J37" s="3">
        <v>1851.13</v>
      </c>
      <c r="K37" s="3">
        <v>1587.87</v>
      </c>
      <c r="L37" s="3">
        <v>263.26</v>
      </c>
      <c r="M37" t="s">
        <v>22</v>
      </c>
    </row>
    <row r="38" spans="1:13" x14ac:dyDescent="0.3">
      <c r="A38" t="s">
        <v>81</v>
      </c>
      <c r="B38" s="2">
        <v>45793</v>
      </c>
      <c r="C38" t="s">
        <v>24</v>
      </c>
      <c r="D38" t="s">
        <v>25</v>
      </c>
      <c r="E38" t="s">
        <v>16</v>
      </c>
      <c r="F38" t="s">
        <v>17</v>
      </c>
      <c r="G38">
        <v>2</v>
      </c>
      <c r="H38" s="3">
        <v>1830.19</v>
      </c>
      <c r="I38" s="4">
        <v>0.05</v>
      </c>
      <c r="J38" s="3">
        <v>3477.36</v>
      </c>
      <c r="K38" s="3">
        <v>2722.43</v>
      </c>
      <c r="L38" s="3">
        <v>754.93</v>
      </c>
      <c r="M38" t="s">
        <v>22</v>
      </c>
    </row>
    <row r="39" spans="1:13" x14ac:dyDescent="0.3">
      <c r="A39" t="s">
        <v>82</v>
      </c>
      <c r="B39" s="2">
        <v>46009</v>
      </c>
      <c r="C39" t="s">
        <v>14</v>
      </c>
      <c r="D39" t="s">
        <v>15</v>
      </c>
      <c r="E39" t="s">
        <v>46</v>
      </c>
      <c r="F39" t="s">
        <v>27</v>
      </c>
      <c r="G39">
        <v>8</v>
      </c>
      <c r="H39" s="3">
        <v>9193.3700000000008</v>
      </c>
      <c r="I39" s="4">
        <v>0</v>
      </c>
      <c r="J39" s="3">
        <v>73546.960000000006</v>
      </c>
      <c r="K39" s="3">
        <v>56919.76</v>
      </c>
      <c r="L39" s="3">
        <v>16627.2</v>
      </c>
      <c r="M39" t="s">
        <v>22</v>
      </c>
    </row>
    <row r="40" spans="1:13" x14ac:dyDescent="0.3">
      <c r="A40" t="s">
        <v>83</v>
      </c>
      <c r="B40" s="2">
        <v>45659</v>
      </c>
      <c r="C40" t="s">
        <v>14</v>
      </c>
      <c r="D40" t="s">
        <v>15</v>
      </c>
      <c r="E40" t="s">
        <v>56</v>
      </c>
      <c r="F40" t="s">
        <v>30</v>
      </c>
      <c r="G40">
        <v>3</v>
      </c>
      <c r="H40" s="3">
        <v>80.66</v>
      </c>
      <c r="I40" s="4">
        <v>0.1</v>
      </c>
      <c r="J40" s="3">
        <v>217.78</v>
      </c>
      <c r="K40" s="3">
        <v>161.03</v>
      </c>
      <c r="L40" s="3">
        <v>56.75</v>
      </c>
      <c r="M40" t="s">
        <v>22</v>
      </c>
    </row>
    <row r="41" spans="1:13" x14ac:dyDescent="0.3">
      <c r="A41" t="s">
        <v>84</v>
      </c>
      <c r="B41" s="2">
        <v>45715</v>
      </c>
      <c r="C41" t="s">
        <v>20</v>
      </c>
      <c r="D41" t="s">
        <v>49</v>
      </c>
      <c r="E41" t="s">
        <v>16</v>
      </c>
      <c r="F41" t="s">
        <v>17</v>
      </c>
      <c r="G41">
        <v>3</v>
      </c>
      <c r="H41" s="3">
        <v>1815.13</v>
      </c>
      <c r="I41" s="4">
        <v>0.15</v>
      </c>
      <c r="J41" s="3">
        <v>4628.58</v>
      </c>
      <c r="K41" s="3">
        <v>3626.86</v>
      </c>
      <c r="L41" s="3">
        <v>1001.72</v>
      </c>
      <c r="M41" t="s">
        <v>22</v>
      </c>
    </row>
    <row r="42" spans="1:13" x14ac:dyDescent="0.3">
      <c r="A42" t="s">
        <v>85</v>
      </c>
      <c r="B42" s="2">
        <v>45815</v>
      </c>
      <c r="C42" t="s">
        <v>14</v>
      </c>
      <c r="D42" t="s">
        <v>15</v>
      </c>
      <c r="E42" t="s">
        <v>56</v>
      </c>
      <c r="F42" t="s">
        <v>30</v>
      </c>
      <c r="G42">
        <v>1</v>
      </c>
      <c r="H42" s="3">
        <v>82.14</v>
      </c>
      <c r="I42" s="4">
        <v>0</v>
      </c>
      <c r="J42" s="3">
        <v>82.14</v>
      </c>
      <c r="K42" s="3">
        <v>53.02</v>
      </c>
      <c r="L42" s="3">
        <v>29.12</v>
      </c>
      <c r="M42" t="s">
        <v>18</v>
      </c>
    </row>
    <row r="43" spans="1:13" x14ac:dyDescent="0.3">
      <c r="A43" t="s">
        <v>86</v>
      </c>
      <c r="B43" s="2">
        <v>45866</v>
      </c>
      <c r="C43" t="s">
        <v>24</v>
      </c>
      <c r="D43" t="s">
        <v>40</v>
      </c>
      <c r="E43" t="s">
        <v>87</v>
      </c>
      <c r="F43" t="s">
        <v>17</v>
      </c>
      <c r="G43">
        <v>3</v>
      </c>
      <c r="H43" s="3">
        <v>13262.83</v>
      </c>
      <c r="I43" s="4">
        <v>0</v>
      </c>
      <c r="J43" s="3">
        <v>39788.49</v>
      </c>
      <c r="K43" s="3">
        <v>22149.95</v>
      </c>
      <c r="L43" s="3">
        <v>17638.54</v>
      </c>
      <c r="M43" t="s">
        <v>18</v>
      </c>
    </row>
    <row r="44" spans="1:13" x14ac:dyDescent="0.3">
      <c r="A44" t="s">
        <v>88</v>
      </c>
      <c r="B44" s="2">
        <v>45828</v>
      </c>
      <c r="C44" t="s">
        <v>14</v>
      </c>
      <c r="D44" t="s">
        <v>15</v>
      </c>
      <c r="E44" t="s">
        <v>29</v>
      </c>
      <c r="F44" t="s">
        <v>30</v>
      </c>
      <c r="G44">
        <v>4</v>
      </c>
      <c r="H44" s="3">
        <v>117.74</v>
      </c>
      <c r="I44" s="4">
        <v>0</v>
      </c>
      <c r="J44" s="3">
        <v>470.96</v>
      </c>
      <c r="K44" s="3">
        <v>263.95</v>
      </c>
      <c r="L44" s="3">
        <v>207.01</v>
      </c>
      <c r="M44" t="s">
        <v>35</v>
      </c>
    </row>
    <row r="45" spans="1:13" x14ac:dyDescent="0.3">
      <c r="A45" t="s">
        <v>89</v>
      </c>
      <c r="B45" s="2">
        <v>45771</v>
      </c>
      <c r="C45" t="s">
        <v>14</v>
      </c>
      <c r="D45" t="s">
        <v>62</v>
      </c>
      <c r="E45" t="s">
        <v>26</v>
      </c>
      <c r="F45" t="s">
        <v>27</v>
      </c>
      <c r="G45">
        <v>8</v>
      </c>
      <c r="H45" s="3">
        <v>6211.84</v>
      </c>
      <c r="I45" s="4">
        <v>0</v>
      </c>
      <c r="J45" s="3">
        <v>49694.720000000001</v>
      </c>
      <c r="K45" s="3">
        <v>36188.14</v>
      </c>
      <c r="L45" s="3">
        <v>13506.58</v>
      </c>
      <c r="M45" t="s">
        <v>35</v>
      </c>
    </row>
    <row r="46" spans="1:13" x14ac:dyDescent="0.3">
      <c r="A46" t="s">
        <v>90</v>
      </c>
      <c r="B46" s="2">
        <v>45826</v>
      </c>
      <c r="C46" t="s">
        <v>14</v>
      </c>
      <c r="D46" t="s">
        <v>62</v>
      </c>
      <c r="E46" t="s">
        <v>46</v>
      </c>
      <c r="F46" t="s">
        <v>27</v>
      </c>
      <c r="G46">
        <v>2</v>
      </c>
      <c r="H46" s="3">
        <v>8855.5400000000009</v>
      </c>
      <c r="I46" s="4">
        <v>0.15</v>
      </c>
      <c r="J46" s="3">
        <v>15054.42</v>
      </c>
      <c r="K46" s="3">
        <v>14432.94</v>
      </c>
      <c r="L46" s="3">
        <v>621.48</v>
      </c>
      <c r="M46" t="s">
        <v>18</v>
      </c>
    </row>
    <row r="47" spans="1:13" x14ac:dyDescent="0.3">
      <c r="A47" t="s">
        <v>91</v>
      </c>
      <c r="B47" s="2">
        <v>45827</v>
      </c>
      <c r="C47" t="s">
        <v>14</v>
      </c>
      <c r="D47" t="s">
        <v>15</v>
      </c>
      <c r="E47" t="s">
        <v>52</v>
      </c>
      <c r="F47" t="s">
        <v>17</v>
      </c>
      <c r="G47">
        <v>2</v>
      </c>
      <c r="H47" s="3">
        <v>59070.3</v>
      </c>
      <c r="I47" s="4">
        <v>0.15</v>
      </c>
      <c r="J47" s="3">
        <v>100419.51</v>
      </c>
      <c r="K47" s="3">
        <v>73445.17</v>
      </c>
      <c r="L47" s="3">
        <v>26974.34</v>
      </c>
      <c r="M47" t="s">
        <v>22</v>
      </c>
    </row>
    <row r="48" spans="1:13" x14ac:dyDescent="0.3">
      <c r="A48" t="s">
        <v>92</v>
      </c>
      <c r="B48" s="2">
        <v>45963</v>
      </c>
      <c r="C48" t="s">
        <v>14</v>
      </c>
      <c r="D48" t="s">
        <v>62</v>
      </c>
      <c r="E48" t="s">
        <v>29</v>
      </c>
      <c r="F48" t="s">
        <v>30</v>
      </c>
      <c r="G48">
        <v>6</v>
      </c>
      <c r="H48" s="3">
        <v>129.30000000000001</v>
      </c>
      <c r="I48" s="4">
        <v>0.15</v>
      </c>
      <c r="J48" s="3">
        <v>659.43</v>
      </c>
      <c r="K48" s="3">
        <v>450.91</v>
      </c>
      <c r="L48" s="3">
        <v>208.52</v>
      </c>
      <c r="M48" t="s">
        <v>18</v>
      </c>
    </row>
    <row r="49" spans="1:13" x14ac:dyDescent="0.3">
      <c r="A49" t="s">
        <v>93</v>
      </c>
      <c r="B49" s="2">
        <v>45755</v>
      </c>
      <c r="C49" t="s">
        <v>59</v>
      </c>
      <c r="D49" t="s">
        <v>66</v>
      </c>
      <c r="E49" t="s">
        <v>46</v>
      </c>
      <c r="F49" t="s">
        <v>27</v>
      </c>
      <c r="G49">
        <v>1</v>
      </c>
      <c r="H49" s="3">
        <v>9612.83</v>
      </c>
      <c r="I49" s="4">
        <v>0.15</v>
      </c>
      <c r="J49" s="3">
        <v>8170.91</v>
      </c>
      <c r="K49" s="3">
        <v>6684.59</v>
      </c>
      <c r="L49" s="3">
        <v>1486.32</v>
      </c>
      <c r="M49" t="s">
        <v>18</v>
      </c>
    </row>
    <row r="50" spans="1:13" x14ac:dyDescent="0.3">
      <c r="A50" t="s">
        <v>94</v>
      </c>
      <c r="B50" s="2">
        <v>46001</v>
      </c>
      <c r="C50" t="s">
        <v>59</v>
      </c>
      <c r="D50" t="s">
        <v>66</v>
      </c>
      <c r="E50" t="s">
        <v>26</v>
      </c>
      <c r="F50" t="s">
        <v>27</v>
      </c>
      <c r="G50">
        <v>6</v>
      </c>
      <c r="H50" s="3">
        <v>6628.08</v>
      </c>
      <c r="I50" s="4">
        <v>0.05</v>
      </c>
      <c r="J50" s="3">
        <v>37780.06</v>
      </c>
      <c r="K50" s="3">
        <v>28995.78</v>
      </c>
      <c r="L50" s="3">
        <v>8784.2800000000007</v>
      </c>
      <c r="M50" t="s">
        <v>22</v>
      </c>
    </row>
    <row r="51" spans="1:13" x14ac:dyDescent="0.3">
      <c r="A51" t="s">
        <v>95</v>
      </c>
      <c r="B51" s="2">
        <v>45811</v>
      </c>
      <c r="C51" t="s">
        <v>59</v>
      </c>
      <c r="D51" t="s">
        <v>68</v>
      </c>
      <c r="E51" t="s">
        <v>42</v>
      </c>
      <c r="F51" t="s">
        <v>38</v>
      </c>
      <c r="G51">
        <v>5</v>
      </c>
      <c r="H51" s="3">
        <v>464.2</v>
      </c>
      <c r="I51" s="4">
        <v>0.1</v>
      </c>
      <c r="J51" s="3">
        <v>2088.9</v>
      </c>
      <c r="K51" s="3">
        <v>1623.98</v>
      </c>
      <c r="L51" s="3">
        <v>464.92</v>
      </c>
      <c r="M51" t="s">
        <v>22</v>
      </c>
    </row>
    <row r="52" spans="1:13" x14ac:dyDescent="0.3">
      <c r="A52" t="s">
        <v>96</v>
      </c>
      <c r="B52" s="2">
        <v>45873</v>
      </c>
      <c r="C52" t="s">
        <v>14</v>
      </c>
      <c r="D52" t="s">
        <v>62</v>
      </c>
      <c r="E52" t="s">
        <v>29</v>
      </c>
      <c r="F52" t="s">
        <v>30</v>
      </c>
      <c r="G52">
        <v>3</v>
      </c>
      <c r="H52" s="3">
        <v>126.41</v>
      </c>
      <c r="I52" s="4">
        <v>0.15</v>
      </c>
      <c r="J52" s="3">
        <v>322.35000000000002</v>
      </c>
      <c r="K52" s="3">
        <v>239.69</v>
      </c>
      <c r="L52" s="3">
        <v>82.66</v>
      </c>
      <c r="M52" t="s">
        <v>22</v>
      </c>
    </row>
    <row r="53" spans="1:13" x14ac:dyDescent="0.3">
      <c r="A53" t="s">
        <v>97</v>
      </c>
      <c r="B53" s="2">
        <v>45878</v>
      </c>
      <c r="C53" t="s">
        <v>59</v>
      </c>
      <c r="D53" t="s">
        <v>68</v>
      </c>
      <c r="E53" t="s">
        <v>87</v>
      </c>
      <c r="F53" t="s">
        <v>17</v>
      </c>
      <c r="G53">
        <v>6</v>
      </c>
      <c r="H53" s="3">
        <v>12851.25</v>
      </c>
      <c r="I53" s="4">
        <v>0.1</v>
      </c>
      <c r="J53" s="3">
        <v>69396.75</v>
      </c>
      <c r="K53" s="3">
        <v>53051.27</v>
      </c>
      <c r="L53" s="3">
        <v>16345.48</v>
      </c>
      <c r="M53" t="s">
        <v>18</v>
      </c>
    </row>
    <row r="54" spans="1:13" x14ac:dyDescent="0.3">
      <c r="A54" t="s">
        <v>98</v>
      </c>
      <c r="B54" s="2">
        <v>45744</v>
      </c>
      <c r="C54" t="s">
        <v>14</v>
      </c>
      <c r="D54" t="s">
        <v>15</v>
      </c>
      <c r="E54" t="s">
        <v>16</v>
      </c>
      <c r="F54" t="s">
        <v>17</v>
      </c>
      <c r="G54">
        <v>5</v>
      </c>
      <c r="H54" s="3">
        <v>1849.77</v>
      </c>
      <c r="I54" s="4">
        <v>0</v>
      </c>
      <c r="J54" s="3">
        <v>9248.85</v>
      </c>
      <c r="K54" s="3">
        <v>5647.84</v>
      </c>
      <c r="L54" s="3">
        <v>3601.01</v>
      </c>
      <c r="M54" t="s">
        <v>22</v>
      </c>
    </row>
    <row r="55" spans="1:13" x14ac:dyDescent="0.3">
      <c r="A55" t="s">
        <v>99</v>
      </c>
      <c r="B55" s="2">
        <v>45733</v>
      </c>
      <c r="C55" t="s">
        <v>24</v>
      </c>
      <c r="D55" t="s">
        <v>25</v>
      </c>
      <c r="E55" t="s">
        <v>52</v>
      </c>
      <c r="F55" t="s">
        <v>17</v>
      </c>
      <c r="G55">
        <v>1</v>
      </c>
      <c r="H55" s="3">
        <v>58077.69</v>
      </c>
      <c r="I55" s="4">
        <v>0.15</v>
      </c>
      <c r="J55" s="3">
        <v>49366.04</v>
      </c>
      <c r="K55" s="3">
        <v>33084.75</v>
      </c>
      <c r="L55" s="3">
        <v>16281.29</v>
      </c>
      <c r="M55" t="s">
        <v>35</v>
      </c>
    </row>
    <row r="56" spans="1:13" x14ac:dyDescent="0.3">
      <c r="A56" t="s">
        <v>100</v>
      </c>
      <c r="B56" s="2">
        <v>45980</v>
      </c>
      <c r="C56" t="s">
        <v>59</v>
      </c>
      <c r="D56" t="s">
        <v>68</v>
      </c>
      <c r="E56" t="s">
        <v>87</v>
      </c>
      <c r="F56" t="s">
        <v>17</v>
      </c>
      <c r="G56">
        <v>4</v>
      </c>
      <c r="H56" s="3">
        <v>11987.97</v>
      </c>
      <c r="I56" s="4">
        <v>0.1</v>
      </c>
      <c r="J56" s="3">
        <v>43156.69</v>
      </c>
      <c r="K56" s="3">
        <v>34867.519999999997</v>
      </c>
      <c r="L56" s="3">
        <v>8289.17</v>
      </c>
      <c r="M56" t="s">
        <v>22</v>
      </c>
    </row>
    <row r="57" spans="1:13" x14ac:dyDescent="0.3">
      <c r="A57" t="s">
        <v>101</v>
      </c>
      <c r="B57" s="2">
        <v>45712</v>
      </c>
      <c r="C57" t="s">
        <v>24</v>
      </c>
      <c r="D57" t="s">
        <v>45</v>
      </c>
      <c r="E57" t="s">
        <v>29</v>
      </c>
      <c r="F57" t="s">
        <v>30</v>
      </c>
      <c r="G57">
        <v>4</v>
      </c>
      <c r="H57" s="3">
        <v>119.32</v>
      </c>
      <c r="I57" s="4">
        <v>0.15</v>
      </c>
      <c r="J57" s="3">
        <v>405.69</v>
      </c>
      <c r="K57" s="3">
        <v>334.33</v>
      </c>
      <c r="L57" s="3">
        <v>71.36</v>
      </c>
      <c r="M57" t="s">
        <v>22</v>
      </c>
    </row>
    <row r="58" spans="1:13" x14ac:dyDescent="0.3">
      <c r="A58" t="s">
        <v>102</v>
      </c>
      <c r="B58" s="2">
        <v>45891</v>
      </c>
      <c r="C58" t="s">
        <v>14</v>
      </c>
      <c r="D58" t="s">
        <v>62</v>
      </c>
      <c r="E58" t="s">
        <v>50</v>
      </c>
      <c r="F58" t="s">
        <v>17</v>
      </c>
      <c r="G58">
        <v>8</v>
      </c>
      <c r="H58" s="3">
        <v>23108.82</v>
      </c>
      <c r="I58" s="4">
        <v>0.15</v>
      </c>
      <c r="J58" s="3">
        <v>157139.98000000001</v>
      </c>
      <c r="K58" s="3">
        <v>146204.04999999999</v>
      </c>
      <c r="L58" s="3">
        <v>10935.93</v>
      </c>
      <c r="M58" t="s">
        <v>35</v>
      </c>
    </row>
    <row r="59" spans="1:13" x14ac:dyDescent="0.3">
      <c r="A59" t="s">
        <v>103</v>
      </c>
      <c r="B59" s="2">
        <v>45938</v>
      </c>
      <c r="C59" t="s">
        <v>59</v>
      </c>
      <c r="D59" t="s">
        <v>68</v>
      </c>
      <c r="E59" t="s">
        <v>37</v>
      </c>
      <c r="F59" t="s">
        <v>38</v>
      </c>
      <c r="G59">
        <v>3</v>
      </c>
      <c r="H59" s="3">
        <v>1560.43</v>
      </c>
      <c r="I59" s="4">
        <v>0.05</v>
      </c>
      <c r="J59" s="3">
        <v>4447.2299999999996</v>
      </c>
      <c r="K59" s="3">
        <v>3636.25</v>
      </c>
      <c r="L59" s="3">
        <v>810.98</v>
      </c>
      <c r="M59" t="s">
        <v>35</v>
      </c>
    </row>
    <row r="60" spans="1:13" x14ac:dyDescent="0.3">
      <c r="A60" t="s">
        <v>104</v>
      </c>
      <c r="B60" s="2">
        <v>45924</v>
      </c>
      <c r="C60" t="s">
        <v>14</v>
      </c>
      <c r="D60" t="s">
        <v>62</v>
      </c>
      <c r="E60" t="s">
        <v>37</v>
      </c>
      <c r="F60" t="s">
        <v>38</v>
      </c>
      <c r="G60">
        <v>4</v>
      </c>
      <c r="H60" s="3">
        <v>1551.25</v>
      </c>
      <c r="I60" s="4">
        <v>0</v>
      </c>
      <c r="J60" s="3">
        <v>6205</v>
      </c>
      <c r="K60" s="3">
        <v>3805.61</v>
      </c>
      <c r="L60" s="3">
        <v>2399.39</v>
      </c>
      <c r="M60" t="s">
        <v>35</v>
      </c>
    </row>
    <row r="61" spans="1:13" x14ac:dyDescent="0.3">
      <c r="A61" t="s">
        <v>105</v>
      </c>
      <c r="B61" s="2">
        <v>45821</v>
      </c>
      <c r="C61" t="s">
        <v>24</v>
      </c>
      <c r="D61" t="s">
        <v>40</v>
      </c>
      <c r="E61" t="s">
        <v>42</v>
      </c>
      <c r="F61" t="s">
        <v>38</v>
      </c>
      <c r="G61">
        <v>2</v>
      </c>
      <c r="H61" s="3">
        <v>441.58</v>
      </c>
      <c r="I61" s="4">
        <v>0</v>
      </c>
      <c r="J61" s="3">
        <v>883.16</v>
      </c>
      <c r="K61" s="3">
        <v>522.16999999999996</v>
      </c>
      <c r="L61" s="3">
        <v>360.99</v>
      </c>
      <c r="M61" t="s">
        <v>22</v>
      </c>
    </row>
    <row r="62" spans="1:13" x14ac:dyDescent="0.3">
      <c r="A62" t="s">
        <v>106</v>
      </c>
      <c r="B62" s="2">
        <v>45690</v>
      </c>
      <c r="C62" t="s">
        <v>14</v>
      </c>
      <c r="D62" t="s">
        <v>32</v>
      </c>
      <c r="E62" t="s">
        <v>29</v>
      </c>
      <c r="F62" t="s">
        <v>30</v>
      </c>
      <c r="G62">
        <v>7</v>
      </c>
      <c r="H62" s="3">
        <v>118.38</v>
      </c>
      <c r="I62" s="4">
        <v>0.1</v>
      </c>
      <c r="J62" s="3">
        <v>745.79</v>
      </c>
      <c r="K62" s="3">
        <v>502.04</v>
      </c>
      <c r="L62" s="3">
        <v>243.75</v>
      </c>
      <c r="M62" t="s">
        <v>35</v>
      </c>
    </row>
    <row r="63" spans="1:13" x14ac:dyDescent="0.3">
      <c r="A63" t="s">
        <v>107</v>
      </c>
      <c r="B63" s="2">
        <v>45857</v>
      </c>
      <c r="C63" t="s">
        <v>59</v>
      </c>
      <c r="D63" t="s">
        <v>68</v>
      </c>
      <c r="E63" t="s">
        <v>87</v>
      </c>
      <c r="F63" t="s">
        <v>17</v>
      </c>
      <c r="G63">
        <v>1</v>
      </c>
      <c r="H63" s="3">
        <v>13385.48</v>
      </c>
      <c r="I63" s="4">
        <v>0</v>
      </c>
      <c r="J63" s="3">
        <v>13385.48</v>
      </c>
      <c r="K63" s="3">
        <v>8441.2199999999993</v>
      </c>
      <c r="L63" s="3">
        <v>4944.26</v>
      </c>
      <c r="M63" t="s">
        <v>35</v>
      </c>
    </row>
    <row r="64" spans="1:13" x14ac:dyDescent="0.3">
      <c r="A64" t="s">
        <v>108</v>
      </c>
      <c r="B64" s="2">
        <v>45872</v>
      </c>
      <c r="C64" t="s">
        <v>59</v>
      </c>
      <c r="D64" t="s">
        <v>66</v>
      </c>
      <c r="E64" t="s">
        <v>42</v>
      </c>
      <c r="F64" t="s">
        <v>38</v>
      </c>
      <c r="G64">
        <v>4</v>
      </c>
      <c r="H64" s="3">
        <v>445.38</v>
      </c>
      <c r="I64" s="4">
        <v>0.05</v>
      </c>
      <c r="J64" s="3">
        <v>1692.44</v>
      </c>
      <c r="K64" s="3">
        <v>993.8</v>
      </c>
      <c r="L64" s="3">
        <v>698.64</v>
      </c>
      <c r="M64" t="s">
        <v>35</v>
      </c>
    </row>
    <row r="65" spans="1:13" x14ac:dyDescent="0.3">
      <c r="A65" t="s">
        <v>109</v>
      </c>
      <c r="B65" s="2">
        <v>46000</v>
      </c>
      <c r="C65" t="s">
        <v>59</v>
      </c>
      <c r="D65" t="s">
        <v>66</v>
      </c>
      <c r="E65" t="s">
        <v>29</v>
      </c>
      <c r="F65" t="s">
        <v>30</v>
      </c>
      <c r="G65">
        <v>3</v>
      </c>
      <c r="H65" s="3">
        <v>120.66</v>
      </c>
      <c r="I65" s="4">
        <v>0.15</v>
      </c>
      <c r="J65" s="3">
        <v>307.68</v>
      </c>
      <c r="K65" s="3">
        <v>287.73</v>
      </c>
      <c r="L65" s="3">
        <v>19.95</v>
      </c>
      <c r="M65" t="s">
        <v>18</v>
      </c>
    </row>
    <row r="66" spans="1:13" x14ac:dyDescent="0.3">
      <c r="A66" t="s">
        <v>110</v>
      </c>
      <c r="B66" s="2">
        <v>45946</v>
      </c>
      <c r="C66" t="s">
        <v>59</v>
      </c>
      <c r="D66" t="s">
        <v>66</v>
      </c>
      <c r="E66" t="s">
        <v>52</v>
      </c>
      <c r="F66" t="s">
        <v>17</v>
      </c>
      <c r="G66">
        <v>2</v>
      </c>
      <c r="H66" s="3">
        <v>52199.22</v>
      </c>
      <c r="I66" s="4">
        <v>0.1</v>
      </c>
      <c r="J66" s="3">
        <v>93958.6</v>
      </c>
      <c r="K66" s="3">
        <v>64752.32</v>
      </c>
      <c r="L66" s="3">
        <v>29206.28</v>
      </c>
      <c r="M66" t="s">
        <v>35</v>
      </c>
    </row>
    <row r="67" spans="1:13" x14ac:dyDescent="0.3">
      <c r="A67" t="s">
        <v>111</v>
      </c>
      <c r="B67" s="2">
        <v>45766</v>
      </c>
      <c r="C67" t="s">
        <v>14</v>
      </c>
      <c r="D67" t="s">
        <v>62</v>
      </c>
      <c r="E67" t="s">
        <v>37</v>
      </c>
      <c r="F67" t="s">
        <v>38</v>
      </c>
      <c r="G67">
        <v>6</v>
      </c>
      <c r="H67" s="3">
        <v>1560.48</v>
      </c>
      <c r="I67" s="4">
        <v>0.05</v>
      </c>
      <c r="J67" s="3">
        <v>8894.74</v>
      </c>
      <c r="K67" s="3">
        <v>7252.67</v>
      </c>
      <c r="L67" s="3">
        <v>1642.07</v>
      </c>
      <c r="M67" t="s">
        <v>35</v>
      </c>
    </row>
    <row r="68" spans="1:13" x14ac:dyDescent="0.3">
      <c r="A68" t="s">
        <v>112</v>
      </c>
      <c r="B68" s="2">
        <v>45699</v>
      </c>
      <c r="C68" t="s">
        <v>20</v>
      </c>
      <c r="D68" t="s">
        <v>49</v>
      </c>
      <c r="E68" t="s">
        <v>37</v>
      </c>
      <c r="F68" t="s">
        <v>38</v>
      </c>
      <c r="G68">
        <v>1</v>
      </c>
      <c r="H68" s="3">
        <v>1536.03</v>
      </c>
      <c r="I68" s="4">
        <v>0</v>
      </c>
      <c r="J68" s="3">
        <v>1536.03</v>
      </c>
      <c r="K68" s="3">
        <v>1168.82</v>
      </c>
      <c r="L68" s="3">
        <v>367.21</v>
      </c>
      <c r="M68" t="s">
        <v>18</v>
      </c>
    </row>
    <row r="69" spans="1:13" x14ac:dyDescent="0.3">
      <c r="A69" t="s">
        <v>113</v>
      </c>
      <c r="B69" s="2">
        <v>45678</v>
      </c>
      <c r="C69" t="s">
        <v>24</v>
      </c>
      <c r="D69" t="s">
        <v>40</v>
      </c>
      <c r="E69" t="s">
        <v>52</v>
      </c>
      <c r="F69" t="s">
        <v>17</v>
      </c>
      <c r="G69">
        <v>4</v>
      </c>
      <c r="H69" s="3">
        <v>51940.959999999999</v>
      </c>
      <c r="I69" s="4">
        <v>0.15</v>
      </c>
      <c r="J69" s="3">
        <v>176599.26</v>
      </c>
      <c r="K69" s="3">
        <v>121350.63</v>
      </c>
      <c r="L69" s="3">
        <v>55248.63</v>
      </c>
      <c r="M69" t="s">
        <v>18</v>
      </c>
    </row>
    <row r="70" spans="1:13" x14ac:dyDescent="0.3">
      <c r="A70" t="s">
        <v>114</v>
      </c>
      <c r="B70" s="2">
        <v>45716</v>
      </c>
      <c r="C70" t="s">
        <v>59</v>
      </c>
      <c r="D70" t="s">
        <v>60</v>
      </c>
      <c r="E70" t="s">
        <v>87</v>
      </c>
      <c r="F70" t="s">
        <v>17</v>
      </c>
      <c r="G70">
        <v>4</v>
      </c>
      <c r="H70" s="3">
        <v>13033.8</v>
      </c>
      <c r="I70" s="4">
        <v>0.05</v>
      </c>
      <c r="J70" s="3">
        <v>49528.44</v>
      </c>
      <c r="K70" s="3">
        <v>31036.240000000002</v>
      </c>
      <c r="L70" s="3">
        <v>18492.2</v>
      </c>
      <c r="M70" t="s">
        <v>18</v>
      </c>
    </row>
    <row r="71" spans="1:13" x14ac:dyDescent="0.3">
      <c r="A71" t="s">
        <v>115</v>
      </c>
      <c r="B71" s="2">
        <v>45716</v>
      </c>
      <c r="C71" t="s">
        <v>20</v>
      </c>
      <c r="D71" t="s">
        <v>54</v>
      </c>
      <c r="E71" t="s">
        <v>50</v>
      </c>
      <c r="F71" t="s">
        <v>17</v>
      </c>
      <c r="G71">
        <v>5</v>
      </c>
      <c r="H71" s="3">
        <v>23509.68</v>
      </c>
      <c r="I71" s="4">
        <v>0</v>
      </c>
      <c r="J71" s="3">
        <v>117548.4</v>
      </c>
      <c r="K71" s="3">
        <v>82926.3</v>
      </c>
      <c r="L71" s="3">
        <v>34622.1</v>
      </c>
      <c r="M71" t="s">
        <v>35</v>
      </c>
    </row>
    <row r="72" spans="1:13" x14ac:dyDescent="0.3">
      <c r="A72" t="s">
        <v>116</v>
      </c>
      <c r="B72" s="2">
        <v>45861</v>
      </c>
      <c r="C72" t="s">
        <v>24</v>
      </c>
      <c r="D72" t="s">
        <v>40</v>
      </c>
      <c r="E72" t="s">
        <v>26</v>
      </c>
      <c r="F72" t="s">
        <v>27</v>
      </c>
      <c r="G72">
        <v>2</v>
      </c>
      <c r="H72" s="3">
        <v>6864.3</v>
      </c>
      <c r="I72" s="4">
        <v>0.05</v>
      </c>
      <c r="J72" s="3">
        <v>13042.17</v>
      </c>
      <c r="K72" s="3">
        <v>9776.2900000000009</v>
      </c>
      <c r="L72" s="3">
        <v>3265.88</v>
      </c>
      <c r="M72" t="s">
        <v>22</v>
      </c>
    </row>
    <row r="73" spans="1:13" x14ac:dyDescent="0.3">
      <c r="A73" t="s">
        <v>117</v>
      </c>
      <c r="B73" s="2">
        <v>45947</v>
      </c>
      <c r="C73" t="s">
        <v>59</v>
      </c>
      <c r="D73" t="s">
        <v>60</v>
      </c>
      <c r="E73" t="s">
        <v>52</v>
      </c>
      <c r="F73" t="s">
        <v>17</v>
      </c>
      <c r="G73">
        <v>6</v>
      </c>
      <c r="H73" s="3">
        <v>51206.82</v>
      </c>
      <c r="I73" s="4">
        <v>0.05</v>
      </c>
      <c r="J73" s="3">
        <v>291878.87</v>
      </c>
      <c r="K73" s="3">
        <v>222699.49</v>
      </c>
      <c r="L73" s="3">
        <v>69179.38</v>
      </c>
      <c r="M73" t="s">
        <v>22</v>
      </c>
    </row>
    <row r="74" spans="1:13" x14ac:dyDescent="0.3">
      <c r="A74" t="s">
        <v>118</v>
      </c>
      <c r="B74" s="2">
        <v>45873</v>
      </c>
      <c r="C74" t="s">
        <v>59</v>
      </c>
      <c r="D74" t="s">
        <v>68</v>
      </c>
      <c r="E74" t="s">
        <v>37</v>
      </c>
      <c r="F74" t="s">
        <v>38</v>
      </c>
      <c r="G74">
        <v>2</v>
      </c>
      <c r="H74" s="3">
        <v>1549.75</v>
      </c>
      <c r="I74" s="4">
        <v>0.1</v>
      </c>
      <c r="J74" s="3">
        <v>2789.55</v>
      </c>
      <c r="K74" s="3">
        <v>2069.17</v>
      </c>
      <c r="L74" s="3">
        <v>720.38</v>
      </c>
      <c r="M74" t="s">
        <v>18</v>
      </c>
    </row>
    <row r="75" spans="1:13" x14ac:dyDescent="0.3">
      <c r="A75" t="s">
        <v>119</v>
      </c>
      <c r="B75" s="2">
        <v>45925</v>
      </c>
      <c r="C75" t="s">
        <v>59</v>
      </c>
      <c r="D75" t="s">
        <v>68</v>
      </c>
      <c r="E75" t="s">
        <v>46</v>
      </c>
      <c r="F75" t="s">
        <v>27</v>
      </c>
      <c r="G75">
        <v>8</v>
      </c>
      <c r="H75" s="3">
        <v>8666.49</v>
      </c>
      <c r="I75" s="4">
        <v>0.15</v>
      </c>
      <c r="J75" s="3">
        <v>58932.13</v>
      </c>
      <c r="K75" s="3">
        <v>54076.3</v>
      </c>
      <c r="L75" s="3">
        <v>4855.83</v>
      </c>
      <c r="M75" t="s">
        <v>22</v>
      </c>
    </row>
    <row r="76" spans="1:13" x14ac:dyDescent="0.3">
      <c r="A76" t="s">
        <v>120</v>
      </c>
      <c r="B76" s="2">
        <v>45800</v>
      </c>
      <c r="C76" t="s">
        <v>59</v>
      </c>
      <c r="D76" t="s">
        <v>60</v>
      </c>
      <c r="E76" t="s">
        <v>37</v>
      </c>
      <c r="F76" t="s">
        <v>38</v>
      </c>
      <c r="G76">
        <v>4</v>
      </c>
      <c r="H76" s="3">
        <v>1540.37</v>
      </c>
      <c r="I76" s="4">
        <v>0.15</v>
      </c>
      <c r="J76" s="3">
        <v>5237.26</v>
      </c>
      <c r="K76" s="3">
        <v>3948.44</v>
      </c>
      <c r="L76" s="3">
        <v>1288.82</v>
      </c>
      <c r="M76" t="s">
        <v>35</v>
      </c>
    </row>
    <row r="77" spans="1:13" x14ac:dyDescent="0.3">
      <c r="A77" t="s">
        <v>121</v>
      </c>
      <c r="B77" s="2">
        <v>45824</v>
      </c>
      <c r="C77" t="s">
        <v>24</v>
      </c>
      <c r="D77" t="s">
        <v>25</v>
      </c>
      <c r="E77" t="s">
        <v>50</v>
      </c>
      <c r="F77" t="s">
        <v>17</v>
      </c>
      <c r="G77">
        <v>8</v>
      </c>
      <c r="H77" s="3">
        <v>21437.99</v>
      </c>
      <c r="I77" s="4">
        <v>0.05</v>
      </c>
      <c r="J77" s="3">
        <v>162928.72</v>
      </c>
      <c r="K77" s="3">
        <v>135091.29999999999</v>
      </c>
      <c r="L77" s="3">
        <v>27837.42</v>
      </c>
      <c r="M77" t="s">
        <v>18</v>
      </c>
    </row>
    <row r="78" spans="1:13" x14ac:dyDescent="0.3">
      <c r="A78" t="s">
        <v>122</v>
      </c>
      <c r="B78" s="2">
        <v>45799</v>
      </c>
      <c r="C78" t="s">
        <v>24</v>
      </c>
      <c r="D78" t="s">
        <v>40</v>
      </c>
      <c r="E78" t="s">
        <v>42</v>
      </c>
      <c r="F78" t="s">
        <v>38</v>
      </c>
      <c r="G78">
        <v>1</v>
      </c>
      <c r="H78" s="3">
        <v>465.85</v>
      </c>
      <c r="I78" s="4">
        <v>0</v>
      </c>
      <c r="J78" s="3">
        <v>465.85</v>
      </c>
      <c r="K78" s="3">
        <v>317.67</v>
      </c>
      <c r="L78" s="3">
        <v>148.18</v>
      </c>
      <c r="M78" t="s">
        <v>22</v>
      </c>
    </row>
    <row r="79" spans="1:13" x14ac:dyDescent="0.3">
      <c r="A79" t="s">
        <v>123</v>
      </c>
      <c r="B79" s="2">
        <v>46011</v>
      </c>
      <c r="C79" t="s">
        <v>59</v>
      </c>
      <c r="D79" t="s">
        <v>66</v>
      </c>
      <c r="E79" t="s">
        <v>37</v>
      </c>
      <c r="F79" t="s">
        <v>38</v>
      </c>
      <c r="G79">
        <v>8</v>
      </c>
      <c r="H79" s="3">
        <v>1450.62</v>
      </c>
      <c r="I79" s="4">
        <v>0</v>
      </c>
      <c r="J79" s="3">
        <v>11604.96</v>
      </c>
      <c r="K79" s="3">
        <v>7649.85</v>
      </c>
      <c r="L79" s="3">
        <v>3955.11</v>
      </c>
      <c r="M79" t="s">
        <v>22</v>
      </c>
    </row>
    <row r="80" spans="1:13" x14ac:dyDescent="0.3">
      <c r="A80" t="s">
        <v>124</v>
      </c>
      <c r="B80" s="2">
        <v>45814</v>
      </c>
      <c r="C80" t="s">
        <v>59</v>
      </c>
      <c r="D80" t="s">
        <v>60</v>
      </c>
      <c r="E80" t="s">
        <v>87</v>
      </c>
      <c r="F80" t="s">
        <v>17</v>
      </c>
      <c r="G80">
        <v>6</v>
      </c>
      <c r="H80" s="3">
        <v>12187.51</v>
      </c>
      <c r="I80" s="4">
        <v>0.15</v>
      </c>
      <c r="J80" s="3">
        <v>62156.3</v>
      </c>
      <c r="K80" s="3">
        <v>59896.04</v>
      </c>
      <c r="L80" s="3">
        <v>2260.2600000000002</v>
      </c>
      <c r="M80" t="s">
        <v>18</v>
      </c>
    </row>
    <row r="81" spans="1:13" x14ac:dyDescent="0.3">
      <c r="A81" t="s">
        <v>125</v>
      </c>
      <c r="B81" s="2">
        <v>45827</v>
      </c>
      <c r="C81" t="s">
        <v>14</v>
      </c>
      <c r="D81" t="s">
        <v>62</v>
      </c>
      <c r="E81" t="s">
        <v>56</v>
      </c>
      <c r="F81" t="s">
        <v>30</v>
      </c>
      <c r="G81">
        <v>8</v>
      </c>
      <c r="H81" s="3">
        <v>76.55</v>
      </c>
      <c r="I81" s="4">
        <v>0.05</v>
      </c>
      <c r="J81" s="3">
        <v>581.78</v>
      </c>
      <c r="K81" s="3">
        <v>456.08</v>
      </c>
      <c r="L81" s="3">
        <v>125.7</v>
      </c>
      <c r="M81" t="s">
        <v>35</v>
      </c>
    </row>
    <row r="82" spans="1:13" x14ac:dyDescent="0.3">
      <c r="A82" t="s">
        <v>126</v>
      </c>
      <c r="B82" s="2">
        <v>45719</v>
      </c>
      <c r="C82" t="s">
        <v>24</v>
      </c>
      <c r="D82" t="s">
        <v>40</v>
      </c>
      <c r="E82" t="s">
        <v>42</v>
      </c>
      <c r="F82" t="s">
        <v>38</v>
      </c>
      <c r="G82">
        <v>3</v>
      </c>
      <c r="H82" s="3">
        <v>433.91</v>
      </c>
      <c r="I82" s="4">
        <v>0.1</v>
      </c>
      <c r="J82" s="3">
        <v>1171.56</v>
      </c>
      <c r="K82" s="3">
        <v>923.17</v>
      </c>
      <c r="L82" s="3">
        <v>248.39</v>
      </c>
      <c r="M82" t="s">
        <v>18</v>
      </c>
    </row>
    <row r="83" spans="1:13" x14ac:dyDescent="0.3">
      <c r="A83" t="s">
        <v>127</v>
      </c>
      <c r="B83" s="2">
        <v>45963</v>
      </c>
      <c r="C83" t="s">
        <v>24</v>
      </c>
      <c r="D83" t="s">
        <v>25</v>
      </c>
      <c r="E83" t="s">
        <v>46</v>
      </c>
      <c r="F83" t="s">
        <v>27</v>
      </c>
      <c r="G83">
        <v>2</v>
      </c>
      <c r="H83" s="3">
        <v>8799.67</v>
      </c>
      <c r="I83" s="4">
        <v>0</v>
      </c>
      <c r="J83" s="3">
        <v>17599.34</v>
      </c>
      <c r="K83" s="3">
        <v>11115.96</v>
      </c>
      <c r="L83" s="3">
        <v>6483.38</v>
      </c>
      <c r="M83" t="s">
        <v>18</v>
      </c>
    </row>
    <row r="84" spans="1:13" x14ac:dyDescent="0.3">
      <c r="A84" t="s">
        <v>128</v>
      </c>
      <c r="B84" s="2">
        <v>45931</v>
      </c>
      <c r="C84" t="s">
        <v>20</v>
      </c>
      <c r="D84" t="s">
        <v>21</v>
      </c>
      <c r="E84" t="s">
        <v>50</v>
      </c>
      <c r="F84" t="s">
        <v>17</v>
      </c>
      <c r="G84">
        <v>5</v>
      </c>
      <c r="H84" s="3">
        <v>21268.32</v>
      </c>
      <c r="I84" s="4">
        <v>0.15</v>
      </c>
      <c r="J84" s="3">
        <v>90390.36</v>
      </c>
      <c r="K84" s="3">
        <v>85594.8</v>
      </c>
      <c r="L84" s="3">
        <v>4795.5600000000004</v>
      </c>
      <c r="M84" t="s">
        <v>18</v>
      </c>
    </row>
    <row r="85" spans="1:13" x14ac:dyDescent="0.3">
      <c r="A85" t="s">
        <v>129</v>
      </c>
      <c r="B85" s="2">
        <v>45909</v>
      </c>
      <c r="C85" t="s">
        <v>14</v>
      </c>
      <c r="D85" t="s">
        <v>62</v>
      </c>
      <c r="E85" t="s">
        <v>16</v>
      </c>
      <c r="F85" t="s">
        <v>17</v>
      </c>
      <c r="G85">
        <v>1</v>
      </c>
      <c r="H85" s="3">
        <v>1782.86</v>
      </c>
      <c r="I85" s="4">
        <v>0.1</v>
      </c>
      <c r="J85" s="3">
        <v>1604.57</v>
      </c>
      <c r="K85" s="3">
        <v>1069.32</v>
      </c>
      <c r="L85" s="3">
        <v>535.25</v>
      </c>
      <c r="M85" t="s">
        <v>22</v>
      </c>
    </row>
    <row r="86" spans="1:13" x14ac:dyDescent="0.3">
      <c r="A86" t="s">
        <v>130</v>
      </c>
      <c r="B86" s="2">
        <v>45787</v>
      </c>
      <c r="C86" t="s">
        <v>20</v>
      </c>
      <c r="D86" t="s">
        <v>49</v>
      </c>
      <c r="E86" t="s">
        <v>37</v>
      </c>
      <c r="F86" t="s">
        <v>38</v>
      </c>
      <c r="G86">
        <v>2</v>
      </c>
      <c r="H86" s="3">
        <v>1397.78</v>
      </c>
      <c r="I86" s="4">
        <v>0.1</v>
      </c>
      <c r="J86" s="3">
        <v>2516</v>
      </c>
      <c r="K86" s="3">
        <v>2012.66</v>
      </c>
      <c r="L86" s="3">
        <v>503.34</v>
      </c>
      <c r="M86" t="s">
        <v>22</v>
      </c>
    </row>
    <row r="87" spans="1:13" x14ac:dyDescent="0.3">
      <c r="A87" t="s">
        <v>131</v>
      </c>
      <c r="B87" s="2">
        <v>45735</v>
      </c>
      <c r="C87" t="s">
        <v>20</v>
      </c>
      <c r="D87" t="s">
        <v>21</v>
      </c>
      <c r="E87" t="s">
        <v>50</v>
      </c>
      <c r="F87" t="s">
        <v>17</v>
      </c>
      <c r="G87">
        <v>5</v>
      </c>
      <c r="H87" s="3">
        <v>22204.42</v>
      </c>
      <c r="I87" s="4">
        <v>0</v>
      </c>
      <c r="J87" s="3">
        <v>111022.1</v>
      </c>
      <c r="K87" s="3">
        <v>73537.37</v>
      </c>
      <c r="L87" s="3">
        <v>37484.730000000003</v>
      </c>
      <c r="M87" t="s">
        <v>18</v>
      </c>
    </row>
    <row r="88" spans="1:13" x14ac:dyDescent="0.3">
      <c r="A88" t="s">
        <v>132</v>
      </c>
      <c r="B88" s="2">
        <v>45974</v>
      </c>
      <c r="C88" t="s">
        <v>59</v>
      </c>
      <c r="D88" t="s">
        <v>68</v>
      </c>
      <c r="E88" t="s">
        <v>26</v>
      </c>
      <c r="F88" t="s">
        <v>27</v>
      </c>
      <c r="G88">
        <v>7</v>
      </c>
      <c r="H88" s="3">
        <v>6874.57</v>
      </c>
      <c r="I88" s="4">
        <v>0.05</v>
      </c>
      <c r="J88" s="3">
        <v>45715.89</v>
      </c>
      <c r="K88" s="3">
        <v>39330.51</v>
      </c>
      <c r="L88" s="3">
        <v>6385.38</v>
      </c>
      <c r="M88" t="s">
        <v>35</v>
      </c>
    </row>
    <row r="89" spans="1:13" x14ac:dyDescent="0.3">
      <c r="A89" t="s">
        <v>133</v>
      </c>
      <c r="B89" s="2">
        <v>45949</v>
      </c>
      <c r="C89" t="s">
        <v>20</v>
      </c>
      <c r="D89" t="s">
        <v>21</v>
      </c>
      <c r="E89" t="s">
        <v>87</v>
      </c>
      <c r="F89" t="s">
        <v>17</v>
      </c>
      <c r="G89">
        <v>1</v>
      </c>
      <c r="H89" s="3">
        <v>12029.29</v>
      </c>
      <c r="I89" s="4">
        <v>0</v>
      </c>
      <c r="J89" s="3">
        <v>12029.29</v>
      </c>
      <c r="K89" s="3">
        <v>6879.8</v>
      </c>
      <c r="L89" s="3">
        <v>5149.49</v>
      </c>
      <c r="M89" t="s">
        <v>22</v>
      </c>
    </row>
    <row r="90" spans="1:13" x14ac:dyDescent="0.3">
      <c r="A90" t="s">
        <v>134</v>
      </c>
      <c r="B90" s="2">
        <v>45746</v>
      </c>
      <c r="C90" t="s">
        <v>24</v>
      </c>
      <c r="D90" t="s">
        <v>40</v>
      </c>
      <c r="E90" t="s">
        <v>42</v>
      </c>
      <c r="F90" t="s">
        <v>38</v>
      </c>
      <c r="G90">
        <v>2</v>
      </c>
      <c r="H90" s="3">
        <v>446.44</v>
      </c>
      <c r="I90" s="4">
        <v>0.1</v>
      </c>
      <c r="J90" s="3">
        <v>803.59</v>
      </c>
      <c r="K90" s="3">
        <v>634.24</v>
      </c>
      <c r="L90" s="3">
        <v>169.35</v>
      </c>
      <c r="M90" t="s">
        <v>35</v>
      </c>
    </row>
    <row r="91" spans="1:13" x14ac:dyDescent="0.3">
      <c r="A91" t="s">
        <v>135</v>
      </c>
      <c r="B91" s="2">
        <v>45674</v>
      </c>
      <c r="C91" t="s">
        <v>14</v>
      </c>
      <c r="D91" t="s">
        <v>32</v>
      </c>
      <c r="E91" t="s">
        <v>26</v>
      </c>
      <c r="F91" t="s">
        <v>27</v>
      </c>
      <c r="G91">
        <v>5</v>
      </c>
      <c r="H91" s="3">
        <v>6054.03</v>
      </c>
      <c r="I91" s="4">
        <v>0.1</v>
      </c>
      <c r="J91" s="3">
        <v>27243.13</v>
      </c>
      <c r="K91" s="3">
        <v>18556.34</v>
      </c>
      <c r="L91" s="3">
        <v>8686.7900000000009</v>
      </c>
      <c r="M91" t="s">
        <v>35</v>
      </c>
    </row>
    <row r="92" spans="1:13" x14ac:dyDescent="0.3">
      <c r="A92" t="s">
        <v>136</v>
      </c>
      <c r="B92" s="2">
        <v>45978</v>
      </c>
      <c r="C92" t="s">
        <v>59</v>
      </c>
      <c r="D92" t="s">
        <v>66</v>
      </c>
      <c r="E92" t="s">
        <v>87</v>
      </c>
      <c r="F92" t="s">
        <v>17</v>
      </c>
      <c r="G92">
        <v>4</v>
      </c>
      <c r="H92" s="3">
        <v>11949.62</v>
      </c>
      <c r="I92" s="4">
        <v>0.15</v>
      </c>
      <c r="J92" s="3">
        <v>40628.71</v>
      </c>
      <c r="K92" s="3">
        <v>28211.96</v>
      </c>
      <c r="L92" s="3">
        <v>12416.75</v>
      </c>
      <c r="M92" t="s">
        <v>35</v>
      </c>
    </row>
    <row r="93" spans="1:13" x14ac:dyDescent="0.3">
      <c r="A93" t="s">
        <v>137</v>
      </c>
      <c r="B93" s="2">
        <v>45730</v>
      </c>
      <c r="C93" t="s">
        <v>24</v>
      </c>
      <c r="D93" t="s">
        <v>25</v>
      </c>
      <c r="E93" t="s">
        <v>16</v>
      </c>
      <c r="F93" t="s">
        <v>17</v>
      </c>
      <c r="G93">
        <v>1</v>
      </c>
      <c r="H93" s="3">
        <v>1871.7</v>
      </c>
      <c r="I93" s="4">
        <v>0.15</v>
      </c>
      <c r="J93" s="3">
        <v>1590.94</v>
      </c>
      <c r="K93" s="3">
        <v>1317.09</v>
      </c>
      <c r="L93" s="3">
        <v>273.85000000000002</v>
      </c>
      <c r="M93" t="s">
        <v>35</v>
      </c>
    </row>
    <row r="94" spans="1:13" x14ac:dyDescent="0.3">
      <c r="A94" t="s">
        <v>138</v>
      </c>
      <c r="B94" s="2">
        <v>45882</v>
      </c>
      <c r="C94" t="s">
        <v>14</v>
      </c>
      <c r="D94" t="s">
        <v>32</v>
      </c>
      <c r="E94" t="s">
        <v>16</v>
      </c>
      <c r="F94" t="s">
        <v>17</v>
      </c>
      <c r="G94">
        <v>8</v>
      </c>
      <c r="H94" s="3">
        <v>1927.49</v>
      </c>
      <c r="I94" s="4">
        <v>0.1</v>
      </c>
      <c r="J94" s="3">
        <v>13877.93</v>
      </c>
      <c r="K94" s="3">
        <v>10564.61</v>
      </c>
      <c r="L94" s="3">
        <v>3313.32</v>
      </c>
      <c r="M94" t="s">
        <v>35</v>
      </c>
    </row>
    <row r="95" spans="1:13" x14ac:dyDescent="0.3">
      <c r="A95" t="s">
        <v>139</v>
      </c>
      <c r="B95" s="2">
        <v>45882</v>
      </c>
      <c r="C95" t="s">
        <v>59</v>
      </c>
      <c r="D95" t="s">
        <v>60</v>
      </c>
      <c r="E95" t="s">
        <v>16</v>
      </c>
      <c r="F95" t="s">
        <v>17</v>
      </c>
      <c r="G95">
        <v>1</v>
      </c>
      <c r="H95" s="3">
        <v>1829.87</v>
      </c>
      <c r="I95" s="4">
        <v>0.05</v>
      </c>
      <c r="J95" s="3">
        <v>1738.38</v>
      </c>
      <c r="K95" s="3">
        <v>1019.21</v>
      </c>
      <c r="L95" s="3">
        <v>719.17</v>
      </c>
      <c r="M95" t="s">
        <v>22</v>
      </c>
    </row>
    <row r="96" spans="1:13" x14ac:dyDescent="0.3">
      <c r="A96" t="s">
        <v>140</v>
      </c>
      <c r="B96" s="2">
        <v>46003</v>
      </c>
      <c r="C96" t="s">
        <v>14</v>
      </c>
      <c r="D96" t="s">
        <v>32</v>
      </c>
      <c r="E96" t="s">
        <v>87</v>
      </c>
      <c r="F96" t="s">
        <v>17</v>
      </c>
      <c r="G96">
        <v>1</v>
      </c>
      <c r="H96" s="3">
        <v>13026.22</v>
      </c>
      <c r="I96" s="4">
        <v>0</v>
      </c>
      <c r="J96" s="3">
        <v>13026.22</v>
      </c>
      <c r="K96" s="3">
        <v>7780.58</v>
      </c>
      <c r="L96" s="3">
        <v>5245.64</v>
      </c>
      <c r="M96" t="s">
        <v>18</v>
      </c>
    </row>
    <row r="97" spans="1:13" x14ac:dyDescent="0.3">
      <c r="A97" t="s">
        <v>141</v>
      </c>
      <c r="B97" s="2">
        <v>45991</v>
      </c>
      <c r="C97" t="s">
        <v>24</v>
      </c>
      <c r="D97" t="s">
        <v>45</v>
      </c>
      <c r="E97" t="s">
        <v>37</v>
      </c>
      <c r="F97" t="s">
        <v>38</v>
      </c>
      <c r="G97">
        <v>5</v>
      </c>
      <c r="H97" s="3">
        <v>1532.35</v>
      </c>
      <c r="I97" s="4">
        <v>0.1</v>
      </c>
      <c r="J97" s="3">
        <v>6895.57</v>
      </c>
      <c r="K97" s="3">
        <v>5231.18</v>
      </c>
      <c r="L97" s="3">
        <v>1664.39</v>
      </c>
      <c r="M97" t="s">
        <v>22</v>
      </c>
    </row>
    <row r="98" spans="1:13" x14ac:dyDescent="0.3">
      <c r="A98" t="s">
        <v>142</v>
      </c>
      <c r="B98" s="2">
        <v>45898</v>
      </c>
      <c r="C98" t="s">
        <v>14</v>
      </c>
      <c r="D98" t="s">
        <v>62</v>
      </c>
      <c r="E98" t="s">
        <v>56</v>
      </c>
      <c r="F98" t="s">
        <v>30</v>
      </c>
      <c r="G98">
        <v>7</v>
      </c>
      <c r="H98" s="3">
        <v>84.58</v>
      </c>
      <c r="I98" s="4">
        <v>0</v>
      </c>
      <c r="J98" s="3">
        <v>592.05999999999995</v>
      </c>
      <c r="K98" s="3">
        <v>378.35</v>
      </c>
      <c r="L98" s="3">
        <v>213.71</v>
      </c>
      <c r="M98" t="s">
        <v>18</v>
      </c>
    </row>
    <row r="99" spans="1:13" x14ac:dyDescent="0.3">
      <c r="A99" t="s">
        <v>143</v>
      </c>
      <c r="B99" s="2">
        <v>45911</v>
      </c>
      <c r="C99" t="s">
        <v>20</v>
      </c>
      <c r="D99" t="s">
        <v>49</v>
      </c>
      <c r="E99" t="s">
        <v>46</v>
      </c>
      <c r="F99" t="s">
        <v>27</v>
      </c>
      <c r="G99">
        <v>7</v>
      </c>
      <c r="H99" s="3">
        <v>8732.9</v>
      </c>
      <c r="I99" s="4">
        <v>0</v>
      </c>
      <c r="J99" s="3">
        <v>61130.3</v>
      </c>
      <c r="K99" s="3">
        <v>38957.360000000001</v>
      </c>
      <c r="L99" s="3">
        <v>22172.94</v>
      </c>
      <c r="M99" t="s">
        <v>35</v>
      </c>
    </row>
    <row r="100" spans="1:13" x14ac:dyDescent="0.3">
      <c r="A100" t="s">
        <v>144</v>
      </c>
      <c r="B100" s="2">
        <v>45921</v>
      </c>
      <c r="C100" t="s">
        <v>59</v>
      </c>
      <c r="D100" t="s">
        <v>66</v>
      </c>
      <c r="E100" t="s">
        <v>52</v>
      </c>
      <c r="F100" t="s">
        <v>17</v>
      </c>
      <c r="G100">
        <v>8</v>
      </c>
      <c r="H100" s="3">
        <v>55162.27</v>
      </c>
      <c r="I100" s="4">
        <v>0</v>
      </c>
      <c r="J100" s="3">
        <v>441298.16</v>
      </c>
      <c r="K100" s="3">
        <v>316901.13</v>
      </c>
      <c r="L100" s="3">
        <v>124397.03</v>
      </c>
      <c r="M100" t="s">
        <v>35</v>
      </c>
    </row>
    <row r="101" spans="1:13" x14ac:dyDescent="0.3">
      <c r="A101" t="s">
        <v>145</v>
      </c>
      <c r="B101" s="2">
        <v>45978</v>
      </c>
      <c r="C101" t="s">
        <v>24</v>
      </c>
      <c r="D101" t="s">
        <v>25</v>
      </c>
      <c r="E101" t="s">
        <v>37</v>
      </c>
      <c r="F101" t="s">
        <v>38</v>
      </c>
      <c r="G101">
        <v>1</v>
      </c>
      <c r="H101" s="3">
        <v>1411.44</v>
      </c>
      <c r="I101" s="4">
        <v>0.15</v>
      </c>
      <c r="J101" s="3">
        <v>1199.72</v>
      </c>
      <c r="K101" s="3">
        <v>886.06</v>
      </c>
      <c r="L101" s="3">
        <v>313.66000000000003</v>
      </c>
      <c r="M101" t="s">
        <v>18</v>
      </c>
    </row>
    <row r="102" spans="1:13" x14ac:dyDescent="0.3">
      <c r="A102" t="s">
        <v>146</v>
      </c>
      <c r="B102" s="2">
        <v>45906</v>
      </c>
      <c r="C102" t="s">
        <v>24</v>
      </c>
      <c r="D102" t="s">
        <v>45</v>
      </c>
      <c r="E102" t="s">
        <v>16</v>
      </c>
      <c r="F102" t="s">
        <v>17</v>
      </c>
      <c r="G102">
        <v>1</v>
      </c>
      <c r="H102" s="3">
        <v>1745.5</v>
      </c>
      <c r="I102" s="4">
        <v>0</v>
      </c>
      <c r="J102" s="3">
        <v>1745.5</v>
      </c>
      <c r="K102" s="3">
        <v>966.47</v>
      </c>
      <c r="L102" s="3">
        <v>779.03</v>
      </c>
      <c r="M102" t="s">
        <v>35</v>
      </c>
    </row>
    <row r="103" spans="1:13" x14ac:dyDescent="0.3">
      <c r="A103" t="s">
        <v>147</v>
      </c>
      <c r="B103" s="2">
        <v>45705</v>
      </c>
      <c r="C103" t="s">
        <v>59</v>
      </c>
      <c r="D103" t="s">
        <v>66</v>
      </c>
      <c r="E103" t="s">
        <v>26</v>
      </c>
      <c r="F103" t="s">
        <v>27</v>
      </c>
      <c r="G103">
        <v>2</v>
      </c>
      <c r="H103" s="3">
        <v>6498.31</v>
      </c>
      <c r="I103" s="4">
        <v>0</v>
      </c>
      <c r="J103" s="3">
        <v>12996.62</v>
      </c>
      <c r="K103" s="3">
        <v>9662.76</v>
      </c>
      <c r="L103" s="3">
        <v>3333.86</v>
      </c>
      <c r="M103" t="s">
        <v>18</v>
      </c>
    </row>
    <row r="104" spans="1:13" x14ac:dyDescent="0.3">
      <c r="A104" t="s">
        <v>148</v>
      </c>
      <c r="B104" s="2">
        <v>46019</v>
      </c>
      <c r="C104" t="s">
        <v>59</v>
      </c>
      <c r="D104" t="s">
        <v>68</v>
      </c>
      <c r="E104" t="s">
        <v>46</v>
      </c>
      <c r="F104" t="s">
        <v>27</v>
      </c>
      <c r="G104">
        <v>7</v>
      </c>
      <c r="H104" s="3">
        <v>8937.77</v>
      </c>
      <c r="I104" s="4">
        <v>0</v>
      </c>
      <c r="J104" s="3">
        <v>62564.39</v>
      </c>
      <c r="K104" s="3">
        <v>36853.760000000002</v>
      </c>
      <c r="L104" s="3">
        <v>25710.63</v>
      </c>
      <c r="M104" t="s">
        <v>22</v>
      </c>
    </row>
    <row r="105" spans="1:13" x14ac:dyDescent="0.3">
      <c r="A105" t="s">
        <v>149</v>
      </c>
      <c r="B105" s="2">
        <v>45964</v>
      </c>
      <c r="C105" t="s">
        <v>20</v>
      </c>
      <c r="D105" t="s">
        <v>49</v>
      </c>
      <c r="E105" t="s">
        <v>42</v>
      </c>
      <c r="F105" t="s">
        <v>38</v>
      </c>
      <c r="G105">
        <v>3</v>
      </c>
      <c r="H105" s="3">
        <v>438.47</v>
      </c>
      <c r="I105" s="4">
        <v>0.1</v>
      </c>
      <c r="J105" s="3">
        <v>1183.8699999999999</v>
      </c>
      <c r="K105" s="3">
        <v>1003.24</v>
      </c>
      <c r="L105" s="3">
        <v>180.63</v>
      </c>
      <c r="M105" t="s">
        <v>35</v>
      </c>
    </row>
    <row r="106" spans="1:13" x14ac:dyDescent="0.3">
      <c r="A106" t="s">
        <v>150</v>
      </c>
      <c r="B106" s="2">
        <v>45659</v>
      </c>
      <c r="C106" t="s">
        <v>59</v>
      </c>
      <c r="D106" t="s">
        <v>66</v>
      </c>
      <c r="E106" t="s">
        <v>46</v>
      </c>
      <c r="F106" t="s">
        <v>27</v>
      </c>
      <c r="G106">
        <v>5</v>
      </c>
      <c r="H106" s="3">
        <v>9055.56</v>
      </c>
      <c r="I106" s="4">
        <v>0.1</v>
      </c>
      <c r="J106" s="3">
        <v>40750.019999999997</v>
      </c>
      <c r="K106" s="3">
        <v>29121.93</v>
      </c>
      <c r="L106" s="3">
        <v>11628.09</v>
      </c>
      <c r="M106" t="s">
        <v>18</v>
      </c>
    </row>
    <row r="107" spans="1:13" x14ac:dyDescent="0.3">
      <c r="A107" t="s">
        <v>151</v>
      </c>
      <c r="B107" s="2">
        <v>45936</v>
      </c>
      <c r="C107" t="s">
        <v>14</v>
      </c>
      <c r="D107" t="s">
        <v>15</v>
      </c>
      <c r="E107" t="s">
        <v>29</v>
      </c>
      <c r="F107" t="s">
        <v>30</v>
      </c>
      <c r="G107">
        <v>8</v>
      </c>
      <c r="H107" s="3">
        <v>121.38</v>
      </c>
      <c r="I107" s="4">
        <v>0</v>
      </c>
      <c r="J107" s="3">
        <v>971.04</v>
      </c>
      <c r="K107" s="3">
        <v>595.30999999999995</v>
      </c>
      <c r="L107" s="3">
        <v>375.73</v>
      </c>
      <c r="M107" t="s">
        <v>35</v>
      </c>
    </row>
    <row r="108" spans="1:13" x14ac:dyDescent="0.3">
      <c r="A108" t="s">
        <v>152</v>
      </c>
      <c r="B108" s="2">
        <v>45680</v>
      </c>
      <c r="C108" t="s">
        <v>59</v>
      </c>
      <c r="D108" t="s">
        <v>68</v>
      </c>
      <c r="E108" t="s">
        <v>56</v>
      </c>
      <c r="F108" t="s">
        <v>30</v>
      </c>
      <c r="G108">
        <v>8</v>
      </c>
      <c r="H108" s="3">
        <v>79.94</v>
      </c>
      <c r="I108" s="4">
        <v>0</v>
      </c>
      <c r="J108" s="3">
        <v>639.52</v>
      </c>
      <c r="K108" s="3">
        <v>358.13</v>
      </c>
      <c r="L108" s="3">
        <v>281.39</v>
      </c>
      <c r="M108" t="s">
        <v>18</v>
      </c>
    </row>
    <row r="109" spans="1:13" x14ac:dyDescent="0.3">
      <c r="A109" t="s">
        <v>153</v>
      </c>
      <c r="B109" s="2">
        <v>45960</v>
      </c>
      <c r="C109" t="s">
        <v>59</v>
      </c>
      <c r="D109" t="s">
        <v>66</v>
      </c>
      <c r="E109" t="s">
        <v>56</v>
      </c>
      <c r="F109" t="s">
        <v>30</v>
      </c>
      <c r="G109">
        <v>2</v>
      </c>
      <c r="H109" s="3">
        <v>85.25</v>
      </c>
      <c r="I109" s="4">
        <v>0.15</v>
      </c>
      <c r="J109" s="3">
        <v>144.91999999999999</v>
      </c>
      <c r="K109" s="3">
        <v>94.48</v>
      </c>
      <c r="L109" s="3">
        <v>50.44</v>
      </c>
      <c r="M109" t="s">
        <v>22</v>
      </c>
    </row>
    <row r="110" spans="1:13" x14ac:dyDescent="0.3">
      <c r="A110" t="s">
        <v>154</v>
      </c>
      <c r="B110" s="2">
        <v>45867</v>
      </c>
      <c r="C110" t="s">
        <v>59</v>
      </c>
      <c r="D110" t="s">
        <v>68</v>
      </c>
      <c r="E110" t="s">
        <v>50</v>
      </c>
      <c r="F110" t="s">
        <v>17</v>
      </c>
      <c r="G110">
        <v>2</v>
      </c>
      <c r="H110" s="3">
        <v>22433.87</v>
      </c>
      <c r="I110" s="4">
        <v>0.05</v>
      </c>
      <c r="J110" s="3">
        <v>42624.35</v>
      </c>
      <c r="K110" s="3">
        <v>29492.49</v>
      </c>
      <c r="L110" s="3">
        <v>13131.86</v>
      </c>
      <c r="M110" t="s">
        <v>22</v>
      </c>
    </row>
    <row r="111" spans="1:13" x14ac:dyDescent="0.3">
      <c r="A111" t="s">
        <v>155</v>
      </c>
      <c r="B111" s="2">
        <v>45826</v>
      </c>
      <c r="C111" t="s">
        <v>14</v>
      </c>
      <c r="D111" t="s">
        <v>32</v>
      </c>
      <c r="E111" t="s">
        <v>42</v>
      </c>
      <c r="F111" t="s">
        <v>38</v>
      </c>
      <c r="G111">
        <v>7</v>
      </c>
      <c r="H111" s="3">
        <v>476.81</v>
      </c>
      <c r="I111" s="4">
        <v>0.1</v>
      </c>
      <c r="J111" s="3">
        <v>3003.9</v>
      </c>
      <c r="K111" s="3">
        <v>1868.07</v>
      </c>
      <c r="L111" s="3">
        <v>1135.83</v>
      </c>
      <c r="M111" t="s">
        <v>22</v>
      </c>
    </row>
    <row r="112" spans="1:13" x14ac:dyDescent="0.3">
      <c r="A112" t="s">
        <v>156</v>
      </c>
      <c r="B112" s="2">
        <v>45778</v>
      </c>
      <c r="C112" t="s">
        <v>20</v>
      </c>
      <c r="D112" t="s">
        <v>49</v>
      </c>
      <c r="E112" t="s">
        <v>46</v>
      </c>
      <c r="F112" t="s">
        <v>27</v>
      </c>
      <c r="G112">
        <v>4</v>
      </c>
      <c r="H112" s="3">
        <v>9374.93</v>
      </c>
      <c r="I112" s="4">
        <v>0</v>
      </c>
      <c r="J112" s="3">
        <v>37499.72</v>
      </c>
      <c r="K112" s="3">
        <v>27751.69</v>
      </c>
      <c r="L112" s="3">
        <v>9748.0300000000007</v>
      </c>
      <c r="M112" t="s">
        <v>22</v>
      </c>
    </row>
    <row r="113" spans="1:13" x14ac:dyDescent="0.3">
      <c r="A113" t="s">
        <v>157</v>
      </c>
      <c r="B113" s="2">
        <v>45885</v>
      </c>
      <c r="C113" t="s">
        <v>20</v>
      </c>
      <c r="D113" t="s">
        <v>21</v>
      </c>
      <c r="E113" t="s">
        <v>50</v>
      </c>
      <c r="F113" t="s">
        <v>17</v>
      </c>
      <c r="G113">
        <v>5</v>
      </c>
      <c r="H113" s="3">
        <v>23042.42</v>
      </c>
      <c r="I113" s="4">
        <v>0.05</v>
      </c>
      <c r="J113" s="3">
        <v>109451.49</v>
      </c>
      <c r="K113" s="3">
        <v>72492.52</v>
      </c>
      <c r="L113" s="3">
        <v>36958.97</v>
      </c>
      <c r="M113" t="s">
        <v>35</v>
      </c>
    </row>
    <row r="114" spans="1:13" x14ac:dyDescent="0.3">
      <c r="A114" t="s">
        <v>158</v>
      </c>
      <c r="B114" s="2">
        <v>45878</v>
      </c>
      <c r="C114" t="s">
        <v>59</v>
      </c>
      <c r="D114" t="s">
        <v>60</v>
      </c>
      <c r="E114" t="s">
        <v>50</v>
      </c>
      <c r="F114" t="s">
        <v>17</v>
      </c>
      <c r="G114">
        <v>4</v>
      </c>
      <c r="H114" s="3">
        <v>20838.34</v>
      </c>
      <c r="I114" s="4">
        <v>0</v>
      </c>
      <c r="J114" s="3">
        <v>83353.36</v>
      </c>
      <c r="K114" s="3">
        <v>47621.56</v>
      </c>
      <c r="L114" s="3">
        <v>35731.800000000003</v>
      </c>
      <c r="M114" t="s">
        <v>35</v>
      </c>
    </row>
    <row r="115" spans="1:13" x14ac:dyDescent="0.3">
      <c r="A115" t="s">
        <v>159</v>
      </c>
      <c r="B115" s="2">
        <v>45975</v>
      </c>
      <c r="C115" t="s">
        <v>24</v>
      </c>
      <c r="D115" t="s">
        <v>40</v>
      </c>
      <c r="E115" t="s">
        <v>26</v>
      </c>
      <c r="F115" t="s">
        <v>27</v>
      </c>
      <c r="G115">
        <v>8</v>
      </c>
      <c r="H115" s="3">
        <v>6643.42</v>
      </c>
      <c r="I115" s="4">
        <v>0.1</v>
      </c>
      <c r="J115" s="3">
        <v>47832.62</v>
      </c>
      <c r="K115" s="3">
        <v>35825.79</v>
      </c>
      <c r="L115" s="3">
        <v>12006.83</v>
      </c>
      <c r="M115" t="s">
        <v>18</v>
      </c>
    </row>
    <row r="116" spans="1:13" x14ac:dyDescent="0.3">
      <c r="A116" t="s">
        <v>160</v>
      </c>
      <c r="B116" s="2">
        <v>45662</v>
      </c>
      <c r="C116" t="s">
        <v>24</v>
      </c>
      <c r="D116" t="s">
        <v>40</v>
      </c>
      <c r="E116" t="s">
        <v>37</v>
      </c>
      <c r="F116" t="s">
        <v>38</v>
      </c>
      <c r="G116">
        <v>5</v>
      </c>
      <c r="H116" s="3">
        <v>1606.86</v>
      </c>
      <c r="I116" s="4">
        <v>0.1</v>
      </c>
      <c r="J116" s="3">
        <v>7230.87</v>
      </c>
      <c r="K116" s="3">
        <v>6561.34</v>
      </c>
      <c r="L116" s="3">
        <v>669.53</v>
      </c>
      <c r="M116" t="s">
        <v>35</v>
      </c>
    </row>
    <row r="117" spans="1:13" x14ac:dyDescent="0.3">
      <c r="A117" t="s">
        <v>161</v>
      </c>
      <c r="B117" s="2">
        <v>45985</v>
      </c>
      <c r="C117" t="s">
        <v>59</v>
      </c>
      <c r="D117" t="s">
        <v>68</v>
      </c>
      <c r="E117" t="s">
        <v>29</v>
      </c>
      <c r="F117" t="s">
        <v>30</v>
      </c>
      <c r="G117">
        <v>5</v>
      </c>
      <c r="H117" s="3">
        <v>129.59</v>
      </c>
      <c r="I117" s="4">
        <v>0</v>
      </c>
      <c r="J117" s="3">
        <v>647.95000000000005</v>
      </c>
      <c r="K117" s="3">
        <v>505.66</v>
      </c>
      <c r="L117" s="3">
        <v>142.29</v>
      </c>
      <c r="M117" t="s">
        <v>22</v>
      </c>
    </row>
    <row r="118" spans="1:13" x14ac:dyDescent="0.3">
      <c r="A118" t="s">
        <v>162</v>
      </c>
      <c r="B118" s="2">
        <v>45779</v>
      </c>
      <c r="C118" t="s">
        <v>14</v>
      </c>
      <c r="D118" t="s">
        <v>32</v>
      </c>
      <c r="E118" t="s">
        <v>29</v>
      </c>
      <c r="F118" t="s">
        <v>30</v>
      </c>
      <c r="G118">
        <v>6</v>
      </c>
      <c r="H118" s="3">
        <v>110.82</v>
      </c>
      <c r="I118" s="4">
        <v>0.05</v>
      </c>
      <c r="J118" s="3">
        <v>631.66999999999996</v>
      </c>
      <c r="K118" s="3">
        <v>514.72</v>
      </c>
      <c r="L118" s="3">
        <v>116.95</v>
      </c>
      <c r="M118" t="s">
        <v>35</v>
      </c>
    </row>
    <row r="119" spans="1:13" x14ac:dyDescent="0.3">
      <c r="A119" t="s">
        <v>163</v>
      </c>
      <c r="B119" s="2">
        <v>45798</v>
      </c>
      <c r="C119" t="s">
        <v>59</v>
      </c>
      <c r="D119" t="s">
        <v>68</v>
      </c>
      <c r="E119" t="s">
        <v>52</v>
      </c>
      <c r="F119" t="s">
        <v>17</v>
      </c>
      <c r="G119">
        <v>1</v>
      </c>
      <c r="H119" s="3">
        <v>55942.17</v>
      </c>
      <c r="I119" s="4">
        <v>0</v>
      </c>
      <c r="J119" s="3">
        <v>55942.17</v>
      </c>
      <c r="K119" s="3">
        <v>36089.79</v>
      </c>
      <c r="L119" s="3">
        <v>19852.38</v>
      </c>
      <c r="M119" t="s">
        <v>18</v>
      </c>
    </row>
    <row r="120" spans="1:13" x14ac:dyDescent="0.3">
      <c r="A120" t="s">
        <v>164</v>
      </c>
      <c r="B120" s="2">
        <v>45755</v>
      </c>
      <c r="C120" t="s">
        <v>24</v>
      </c>
      <c r="D120" t="s">
        <v>45</v>
      </c>
      <c r="E120" t="s">
        <v>87</v>
      </c>
      <c r="F120" t="s">
        <v>17</v>
      </c>
      <c r="G120">
        <v>5</v>
      </c>
      <c r="H120" s="3">
        <v>13306.81</v>
      </c>
      <c r="I120" s="4">
        <v>0</v>
      </c>
      <c r="J120" s="3">
        <v>66534.05</v>
      </c>
      <c r="K120" s="3">
        <v>48204.72</v>
      </c>
      <c r="L120" s="3">
        <v>18329.330000000002</v>
      </c>
      <c r="M120" t="s">
        <v>35</v>
      </c>
    </row>
    <row r="121" spans="1:13" x14ac:dyDescent="0.3">
      <c r="A121" t="s">
        <v>165</v>
      </c>
      <c r="B121" s="2">
        <v>45883</v>
      </c>
      <c r="C121" t="s">
        <v>24</v>
      </c>
      <c r="D121" t="s">
        <v>40</v>
      </c>
      <c r="E121" t="s">
        <v>52</v>
      </c>
      <c r="F121" t="s">
        <v>17</v>
      </c>
      <c r="G121">
        <v>6</v>
      </c>
      <c r="H121" s="3">
        <v>53475.13</v>
      </c>
      <c r="I121" s="4">
        <v>0.05</v>
      </c>
      <c r="J121" s="3">
        <v>304808.24</v>
      </c>
      <c r="K121" s="3">
        <v>212462.84</v>
      </c>
      <c r="L121" s="3">
        <v>92345.4</v>
      </c>
      <c r="M121" t="s">
        <v>22</v>
      </c>
    </row>
    <row r="122" spans="1:13" x14ac:dyDescent="0.3">
      <c r="A122" t="s">
        <v>166</v>
      </c>
      <c r="B122" s="2">
        <v>45725</v>
      </c>
      <c r="C122" t="s">
        <v>14</v>
      </c>
      <c r="D122" t="s">
        <v>15</v>
      </c>
      <c r="E122" t="s">
        <v>42</v>
      </c>
      <c r="F122" t="s">
        <v>38</v>
      </c>
      <c r="G122">
        <v>6</v>
      </c>
      <c r="H122" s="3">
        <v>479.81</v>
      </c>
      <c r="I122" s="4">
        <v>0.05</v>
      </c>
      <c r="J122" s="3">
        <v>2734.92</v>
      </c>
      <c r="K122" s="3">
        <v>2317.2800000000002</v>
      </c>
      <c r="L122" s="3">
        <v>417.64</v>
      </c>
      <c r="M122" t="s">
        <v>35</v>
      </c>
    </row>
    <row r="123" spans="1:13" x14ac:dyDescent="0.3">
      <c r="A123" t="s">
        <v>167</v>
      </c>
      <c r="B123" s="2">
        <v>45831</v>
      </c>
      <c r="C123" t="s">
        <v>20</v>
      </c>
      <c r="D123" t="s">
        <v>21</v>
      </c>
      <c r="E123" t="s">
        <v>16</v>
      </c>
      <c r="F123" t="s">
        <v>17</v>
      </c>
      <c r="G123">
        <v>8</v>
      </c>
      <c r="H123" s="3">
        <v>1903.72</v>
      </c>
      <c r="I123" s="4">
        <v>0</v>
      </c>
      <c r="J123" s="3">
        <v>15229.76</v>
      </c>
      <c r="K123" s="3">
        <v>11354.37</v>
      </c>
      <c r="L123" s="3">
        <v>3875.39</v>
      </c>
      <c r="M123" t="s">
        <v>35</v>
      </c>
    </row>
    <row r="124" spans="1:13" x14ac:dyDescent="0.3">
      <c r="A124" t="s">
        <v>168</v>
      </c>
      <c r="B124" s="2">
        <v>45943</v>
      </c>
      <c r="C124" t="s">
        <v>59</v>
      </c>
      <c r="D124" t="s">
        <v>66</v>
      </c>
      <c r="E124" t="s">
        <v>56</v>
      </c>
      <c r="F124" t="s">
        <v>30</v>
      </c>
      <c r="G124">
        <v>2</v>
      </c>
      <c r="H124" s="3">
        <v>80.47</v>
      </c>
      <c r="I124" s="4">
        <v>0.05</v>
      </c>
      <c r="J124" s="3">
        <v>152.88999999999999</v>
      </c>
      <c r="K124" s="3">
        <v>108.28</v>
      </c>
      <c r="L124" s="3">
        <v>44.61</v>
      </c>
      <c r="M124" t="s">
        <v>18</v>
      </c>
    </row>
    <row r="125" spans="1:13" x14ac:dyDescent="0.3">
      <c r="A125" t="s">
        <v>169</v>
      </c>
      <c r="B125" s="2">
        <v>46002</v>
      </c>
      <c r="C125" t="s">
        <v>14</v>
      </c>
      <c r="D125" t="s">
        <v>15</v>
      </c>
      <c r="E125" t="s">
        <v>46</v>
      </c>
      <c r="F125" t="s">
        <v>27</v>
      </c>
      <c r="G125">
        <v>7</v>
      </c>
      <c r="H125" s="3">
        <v>8958.93</v>
      </c>
      <c r="I125" s="4">
        <v>0</v>
      </c>
      <c r="J125" s="3">
        <v>62712.51</v>
      </c>
      <c r="K125" s="3">
        <v>44982.28</v>
      </c>
      <c r="L125" s="3">
        <v>17730.23</v>
      </c>
      <c r="M125" t="s">
        <v>18</v>
      </c>
    </row>
    <row r="126" spans="1:13" x14ac:dyDescent="0.3">
      <c r="A126" t="s">
        <v>170</v>
      </c>
      <c r="B126" s="2">
        <v>45825</v>
      </c>
      <c r="C126" t="s">
        <v>20</v>
      </c>
      <c r="D126" t="s">
        <v>54</v>
      </c>
      <c r="E126" t="s">
        <v>87</v>
      </c>
      <c r="F126" t="s">
        <v>17</v>
      </c>
      <c r="G126">
        <v>4</v>
      </c>
      <c r="H126" s="3">
        <v>13318.78</v>
      </c>
      <c r="I126" s="4">
        <v>0.1</v>
      </c>
      <c r="J126" s="3">
        <v>47947.61</v>
      </c>
      <c r="K126" s="3">
        <v>33648.1</v>
      </c>
      <c r="L126" s="3">
        <v>14299.51</v>
      </c>
      <c r="M126" t="s">
        <v>35</v>
      </c>
    </row>
    <row r="127" spans="1:13" x14ac:dyDescent="0.3">
      <c r="A127" t="s">
        <v>171</v>
      </c>
      <c r="B127" s="2">
        <v>45717</v>
      </c>
      <c r="C127" t="s">
        <v>20</v>
      </c>
      <c r="D127" t="s">
        <v>49</v>
      </c>
      <c r="E127" t="s">
        <v>50</v>
      </c>
      <c r="F127" t="s">
        <v>17</v>
      </c>
      <c r="G127">
        <v>1</v>
      </c>
      <c r="H127" s="3">
        <v>20648.740000000002</v>
      </c>
      <c r="I127" s="4">
        <v>0.1</v>
      </c>
      <c r="J127" s="3">
        <v>18583.87</v>
      </c>
      <c r="K127" s="3">
        <v>12665.85</v>
      </c>
      <c r="L127" s="3">
        <v>5918.02</v>
      </c>
      <c r="M127" t="s">
        <v>18</v>
      </c>
    </row>
    <row r="128" spans="1:13" x14ac:dyDescent="0.3">
      <c r="A128" t="s">
        <v>172</v>
      </c>
      <c r="B128" s="2">
        <v>45727</v>
      </c>
      <c r="C128" t="s">
        <v>14</v>
      </c>
      <c r="D128" t="s">
        <v>32</v>
      </c>
      <c r="E128" t="s">
        <v>29</v>
      </c>
      <c r="F128" t="s">
        <v>30</v>
      </c>
      <c r="G128">
        <v>8</v>
      </c>
      <c r="H128" s="3">
        <v>118.45</v>
      </c>
      <c r="I128" s="4">
        <v>0.15</v>
      </c>
      <c r="J128" s="3">
        <v>805.46</v>
      </c>
      <c r="K128" s="3">
        <v>711.09</v>
      </c>
      <c r="L128" s="3">
        <v>94.37</v>
      </c>
      <c r="M128" t="s">
        <v>22</v>
      </c>
    </row>
    <row r="129" spans="1:13" x14ac:dyDescent="0.3">
      <c r="A129" t="s">
        <v>173</v>
      </c>
      <c r="B129" s="2">
        <v>45870</v>
      </c>
      <c r="C129" t="s">
        <v>59</v>
      </c>
      <c r="D129" t="s">
        <v>68</v>
      </c>
      <c r="E129" t="s">
        <v>16</v>
      </c>
      <c r="F129" t="s">
        <v>17</v>
      </c>
      <c r="G129">
        <v>8</v>
      </c>
      <c r="H129" s="3">
        <v>1854.8</v>
      </c>
      <c r="I129" s="4">
        <v>0</v>
      </c>
      <c r="J129" s="3">
        <v>14838.4</v>
      </c>
      <c r="K129" s="3">
        <v>9031.58</v>
      </c>
      <c r="L129" s="3">
        <v>5806.82</v>
      </c>
      <c r="M129" t="s">
        <v>35</v>
      </c>
    </row>
    <row r="130" spans="1:13" x14ac:dyDescent="0.3">
      <c r="A130" t="s">
        <v>174</v>
      </c>
      <c r="B130" s="2">
        <v>45778</v>
      </c>
      <c r="C130" t="s">
        <v>14</v>
      </c>
      <c r="D130" t="s">
        <v>32</v>
      </c>
      <c r="E130" t="s">
        <v>56</v>
      </c>
      <c r="F130" t="s">
        <v>30</v>
      </c>
      <c r="G130">
        <v>2</v>
      </c>
      <c r="H130" s="3">
        <v>74.38</v>
      </c>
      <c r="I130" s="4">
        <v>0.05</v>
      </c>
      <c r="J130" s="3">
        <v>141.32</v>
      </c>
      <c r="K130" s="3">
        <v>92.9</v>
      </c>
      <c r="L130" s="3">
        <v>48.42</v>
      </c>
      <c r="M130" t="s">
        <v>22</v>
      </c>
    </row>
    <row r="131" spans="1:13" x14ac:dyDescent="0.3">
      <c r="A131" t="s">
        <v>175</v>
      </c>
      <c r="B131" s="2">
        <v>45890</v>
      </c>
      <c r="C131" t="s">
        <v>20</v>
      </c>
      <c r="D131" t="s">
        <v>21</v>
      </c>
      <c r="E131" t="s">
        <v>16</v>
      </c>
      <c r="F131" t="s">
        <v>17</v>
      </c>
      <c r="G131">
        <v>4</v>
      </c>
      <c r="H131" s="3">
        <v>1726.15</v>
      </c>
      <c r="I131" s="4">
        <v>0.05</v>
      </c>
      <c r="J131" s="3">
        <v>6559.37</v>
      </c>
      <c r="K131" s="3">
        <v>4032.28</v>
      </c>
      <c r="L131" s="3">
        <v>2527.09</v>
      </c>
      <c r="M131" t="s">
        <v>18</v>
      </c>
    </row>
    <row r="132" spans="1:13" x14ac:dyDescent="0.3">
      <c r="A132" t="s">
        <v>176</v>
      </c>
      <c r="B132" s="2">
        <v>45763</v>
      </c>
      <c r="C132" t="s">
        <v>24</v>
      </c>
      <c r="D132" t="s">
        <v>40</v>
      </c>
      <c r="E132" t="s">
        <v>16</v>
      </c>
      <c r="F132" t="s">
        <v>17</v>
      </c>
      <c r="G132">
        <v>4</v>
      </c>
      <c r="H132" s="3">
        <v>1879.02</v>
      </c>
      <c r="I132" s="4">
        <v>0.05</v>
      </c>
      <c r="J132" s="3">
        <v>7140.28</v>
      </c>
      <c r="K132" s="3">
        <v>5734.27</v>
      </c>
      <c r="L132" s="3">
        <v>1406.01</v>
      </c>
      <c r="M132" t="s">
        <v>18</v>
      </c>
    </row>
    <row r="133" spans="1:13" x14ac:dyDescent="0.3">
      <c r="A133" t="s">
        <v>177</v>
      </c>
      <c r="B133" s="2">
        <v>45659</v>
      </c>
      <c r="C133" t="s">
        <v>24</v>
      </c>
      <c r="D133" t="s">
        <v>45</v>
      </c>
      <c r="E133" t="s">
        <v>46</v>
      </c>
      <c r="F133" t="s">
        <v>27</v>
      </c>
      <c r="G133">
        <v>3</v>
      </c>
      <c r="H133" s="3">
        <v>9429.86</v>
      </c>
      <c r="I133" s="4">
        <v>0.05</v>
      </c>
      <c r="J133" s="3">
        <v>26875.1</v>
      </c>
      <c r="K133" s="3">
        <v>16398.91</v>
      </c>
      <c r="L133" s="3">
        <v>10476.19</v>
      </c>
      <c r="M133" t="s">
        <v>22</v>
      </c>
    </row>
    <row r="134" spans="1:13" x14ac:dyDescent="0.3">
      <c r="A134" t="s">
        <v>178</v>
      </c>
      <c r="B134" s="2">
        <v>45725</v>
      </c>
      <c r="C134" t="s">
        <v>24</v>
      </c>
      <c r="D134" t="s">
        <v>45</v>
      </c>
      <c r="E134" t="s">
        <v>52</v>
      </c>
      <c r="F134" t="s">
        <v>17</v>
      </c>
      <c r="G134">
        <v>6</v>
      </c>
      <c r="H134" s="3">
        <v>50738.87</v>
      </c>
      <c r="I134" s="4">
        <v>0.05</v>
      </c>
      <c r="J134" s="3">
        <v>289211.56</v>
      </c>
      <c r="K134" s="3">
        <v>189250.68</v>
      </c>
      <c r="L134" s="3">
        <v>99960.88</v>
      </c>
      <c r="M134" t="s">
        <v>22</v>
      </c>
    </row>
    <row r="135" spans="1:13" x14ac:dyDescent="0.3">
      <c r="A135" t="s">
        <v>179</v>
      </c>
      <c r="B135" s="2">
        <v>45873</v>
      </c>
      <c r="C135" t="s">
        <v>20</v>
      </c>
      <c r="D135" t="s">
        <v>49</v>
      </c>
      <c r="E135" t="s">
        <v>42</v>
      </c>
      <c r="F135" t="s">
        <v>38</v>
      </c>
      <c r="G135">
        <v>2</v>
      </c>
      <c r="H135" s="3">
        <v>470.02</v>
      </c>
      <c r="I135" s="4">
        <v>0.1</v>
      </c>
      <c r="J135" s="3">
        <v>846.04</v>
      </c>
      <c r="K135" s="3">
        <v>647.29</v>
      </c>
      <c r="L135" s="3">
        <v>198.75</v>
      </c>
      <c r="M135" t="s">
        <v>22</v>
      </c>
    </row>
    <row r="136" spans="1:13" x14ac:dyDescent="0.3">
      <c r="A136" t="s">
        <v>180</v>
      </c>
      <c r="B136" s="2">
        <v>45889</v>
      </c>
      <c r="C136" t="s">
        <v>20</v>
      </c>
      <c r="D136" t="s">
        <v>54</v>
      </c>
      <c r="E136" t="s">
        <v>42</v>
      </c>
      <c r="F136" t="s">
        <v>38</v>
      </c>
      <c r="G136">
        <v>4</v>
      </c>
      <c r="H136" s="3">
        <v>435.72</v>
      </c>
      <c r="I136" s="4">
        <v>0.15</v>
      </c>
      <c r="J136" s="3">
        <v>1481.45</v>
      </c>
      <c r="K136" s="3">
        <v>1261.33</v>
      </c>
      <c r="L136" s="3">
        <v>220.12</v>
      </c>
      <c r="M136" t="s">
        <v>22</v>
      </c>
    </row>
    <row r="137" spans="1:13" x14ac:dyDescent="0.3">
      <c r="A137" t="s">
        <v>181</v>
      </c>
      <c r="B137" s="2">
        <v>45689</v>
      </c>
      <c r="C137" t="s">
        <v>59</v>
      </c>
      <c r="D137" t="s">
        <v>60</v>
      </c>
      <c r="E137" t="s">
        <v>37</v>
      </c>
      <c r="F137" t="s">
        <v>38</v>
      </c>
      <c r="G137">
        <v>7</v>
      </c>
      <c r="H137" s="3">
        <v>1497.66</v>
      </c>
      <c r="I137" s="4">
        <v>0</v>
      </c>
      <c r="J137" s="3">
        <v>10483.620000000001</v>
      </c>
      <c r="K137" s="3">
        <v>8340.9699999999993</v>
      </c>
      <c r="L137" s="3">
        <v>2142.65</v>
      </c>
      <c r="M137" t="s">
        <v>22</v>
      </c>
    </row>
    <row r="138" spans="1:13" x14ac:dyDescent="0.3">
      <c r="A138" t="s">
        <v>182</v>
      </c>
      <c r="B138" s="2">
        <v>45699</v>
      </c>
      <c r="C138" t="s">
        <v>20</v>
      </c>
      <c r="D138" t="s">
        <v>21</v>
      </c>
      <c r="E138" t="s">
        <v>56</v>
      </c>
      <c r="F138" t="s">
        <v>30</v>
      </c>
      <c r="G138">
        <v>3</v>
      </c>
      <c r="H138" s="3">
        <v>81.59</v>
      </c>
      <c r="I138" s="4">
        <v>0.05</v>
      </c>
      <c r="J138" s="3">
        <v>232.53</v>
      </c>
      <c r="K138" s="3">
        <v>173.31</v>
      </c>
      <c r="L138" s="3">
        <v>59.22</v>
      </c>
      <c r="M138" t="s">
        <v>18</v>
      </c>
    </row>
    <row r="139" spans="1:13" x14ac:dyDescent="0.3">
      <c r="A139" t="s">
        <v>183</v>
      </c>
      <c r="B139" s="2">
        <v>45824</v>
      </c>
      <c r="C139" t="s">
        <v>59</v>
      </c>
      <c r="D139" t="s">
        <v>60</v>
      </c>
      <c r="E139" t="s">
        <v>29</v>
      </c>
      <c r="F139" t="s">
        <v>30</v>
      </c>
      <c r="G139">
        <v>5</v>
      </c>
      <c r="H139" s="3">
        <v>118.66</v>
      </c>
      <c r="I139" s="4">
        <v>0.15</v>
      </c>
      <c r="J139" s="3">
        <v>504.3</v>
      </c>
      <c r="K139" s="3">
        <v>453.36</v>
      </c>
      <c r="L139" s="3">
        <v>50.94</v>
      </c>
      <c r="M139" t="s">
        <v>22</v>
      </c>
    </row>
    <row r="140" spans="1:13" x14ac:dyDescent="0.3">
      <c r="A140" t="s">
        <v>184</v>
      </c>
      <c r="B140" s="2">
        <v>45993</v>
      </c>
      <c r="C140" t="s">
        <v>59</v>
      </c>
      <c r="D140" t="s">
        <v>68</v>
      </c>
      <c r="E140" t="s">
        <v>42</v>
      </c>
      <c r="F140" t="s">
        <v>38</v>
      </c>
      <c r="G140">
        <v>4</v>
      </c>
      <c r="H140" s="3">
        <v>443.79</v>
      </c>
      <c r="I140" s="4">
        <v>0</v>
      </c>
      <c r="J140" s="3">
        <v>1775.16</v>
      </c>
      <c r="K140" s="3">
        <v>1372.91</v>
      </c>
      <c r="L140" s="3">
        <v>402.25</v>
      </c>
      <c r="M140" t="s">
        <v>35</v>
      </c>
    </row>
    <row r="141" spans="1:13" x14ac:dyDescent="0.3">
      <c r="A141" t="s">
        <v>185</v>
      </c>
      <c r="B141" s="2">
        <v>45870</v>
      </c>
      <c r="C141" t="s">
        <v>59</v>
      </c>
      <c r="D141" t="s">
        <v>68</v>
      </c>
      <c r="E141" t="s">
        <v>16</v>
      </c>
      <c r="F141" t="s">
        <v>17</v>
      </c>
      <c r="G141">
        <v>6</v>
      </c>
      <c r="H141" s="3">
        <v>1763.8</v>
      </c>
      <c r="I141" s="4">
        <v>0.05</v>
      </c>
      <c r="J141" s="3">
        <v>10053.66</v>
      </c>
      <c r="K141" s="3">
        <v>6256.68</v>
      </c>
      <c r="L141" s="3">
        <v>3796.98</v>
      </c>
      <c r="M141" t="s">
        <v>35</v>
      </c>
    </row>
    <row r="142" spans="1:13" x14ac:dyDescent="0.3">
      <c r="A142" t="s">
        <v>186</v>
      </c>
      <c r="B142" s="2">
        <v>45692</v>
      </c>
      <c r="C142" t="s">
        <v>20</v>
      </c>
      <c r="D142" t="s">
        <v>49</v>
      </c>
      <c r="E142" t="s">
        <v>16</v>
      </c>
      <c r="F142" t="s">
        <v>17</v>
      </c>
      <c r="G142">
        <v>2</v>
      </c>
      <c r="H142" s="3">
        <v>1870.44</v>
      </c>
      <c r="I142" s="4">
        <v>0</v>
      </c>
      <c r="J142" s="3">
        <v>3740.88</v>
      </c>
      <c r="K142" s="3">
        <v>2433.87</v>
      </c>
      <c r="L142" s="3">
        <v>1307.01</v>
      </c>
      <c r="M142" t="s">
        <v>22</v>
      </c>
    </row>
    <row r="143" spans="1:13" x14ac:dyDescent="0.3">
      <c r="A143" t="s">
        <v>187</v>
      </c>
      <c r="B143" s="2">
        <v>45942</v>
      </c>
      <c r="C143" t="s">
        <v>20</v>
      </c>
      <c r="D143" t="s">
        <v>49</v>
      </c>
      <c r="E143" t="s">
        <v>52</v>
      </c>
      <c r="F143" t="s">
        <v>17</v>
      </c>
      <c r="G143">
        <v>6</v>
      </c>
      <c r="H143" s="3">
        <v>58287.74</v>
      </c>
      <c r="I143" s="4">
        <v>0.05</v>
      </c>
      <c r="J143" s="3">
        <v>332240.12</v>
      </c>
      <c r="K143" s="3">
        <v>281216.8</v>
      </c>
      <c r="L143" s="3">
        <v>51023.32</v>
      </c>
      <c r="M143" t="s">
        <v>35</v>
      </c>
    </row>
    <row r="144" spans="1:13" x14ac:dyDescent="0.3">
      <c r="A144" t="s">
        <v>188</v>
      </c>
      <c r="B144" s="2">
        <v>45684</v>
      </c>
      <c r="C144" t="s">
        <v>14</v>
      </c>
      <c r="D144" t="s">
        <v>15</v>
      </c>
      <c r="E144" t="s">
        <v>46</v>
      </c>
      <c r="F144" t="s">
        <v>27</v>
      </c>
      <c r="G144">
        <v>5</v>
      </c>
      <c r="H144" s="3">
        <v>9010.67</v>
      </c>
      <c r="I144" s="4">
        <v>0.15</v>
      </c>
      <c r="J144" s="3">
        <v>38295.35</v>
      </c>
      <c r="K144" s="3">
        <v>26661.54</v>
      </c>
      <c r="L144" s="3">
        <v>11633.81</v>
      </c>
      <c r="M144" t="s">
        <v>35</v>
      </c>
    </row>
    <row r="145" spans="1:13" x14ac:dyDescent="0.3">
      <c r="A145" t="s">
        <v>189</v>
      </c>
      <c r="B145" s="2">
        <v>45772</v>
      </c>
      <c r="C145" t="s">
        <v>14</v>
      </c>
      <c r="D145" t="s">
        <v>15</v>
      </c>
      <c r="E145" t="s">
        <v>16</v>
      </c>
      <c r="F145" t="s">
        <v>17</v>
      </c>
      <c r="G145">
        <v>6</v>
      </c>
      <c r="H145" s="3">
        <v>1821.34</v>
      </c>
      <c r="I145" s="4">
        <v>0.05</v>
      </c>
      <c r="J145" s="3">
        <v>10381.64</v>
      </c>
      <c r="K145" s="3">
        <v>8392.19</v>
      </c>
      <c r="L145" s="3">
        <v>1989.45</v>
      </c>
      <c r="M145" t="s">
        <v>18</v>
      </c>
    </row>
    <row r="146" spans="1:13" x14ac:dyDescent="0.3">
      <c r="A146" t="s">
        <v>190</v>
      </c>
      <c r="B146" s="2">
        <v>45976</v>
      </c>
      <c r="C146" t="s">
        <v>14</v>
      </c>
      <c r="D146" t="s">
        <v>15</v>
      </c>
      <c r="E146" t="s">
        <v>87</v>
      </c>
      <c r="F146" t="s">
        <v>17</v>
      </c>
      <c r="G146">
        <v>1</v>
      </c>
      <c r="H146" s="3">
        <v>12046.54</v>
      </c>
      <c r="I146" s="4">
        <v>0</v>
      </c>
      <c r="J146" s="3">
        <v>12046.54</v>
      </c>
      <c r="K146" s="3">
        <v>9105.3799999999992</v>
      </c>
      <c r="L146" s="3">
        <v>2941.16</v>
      </c>
      <c r="M146" t="s">
        <v>35</v>
      </c>
    </row>
    <row r="147" spans="1:13" x14ac:dyDescent="0.3">
      <c r="A147" t="s">
        <v>191</v>
      </c>
      <c r="B147" s="2">
        <v>45837</v>
      </c>
      <c r="C147" t="s">
        <v>24</v>
      </c>
      <c r="D147" t="s">
        <v>45</v>
      </c>
      <c r="E147" t="s">
        <v>52</v>
      </c>
      <c r="F147" t="s">
        <v>17</v>
      </c>
      <c r="G147">
        <v>3</v>
      </c>
      <c r="H147" s="3">
        <v>51212.35</v>
      </c>
      <c r="I147" s="4">
        <v>0.1</v>
      </c>
      <c r="J147" s="3">
        <v>138273.35</v>
      </c>
      <c r="K147" s="3">
        <v>115237.26</v>
      </c>
      <c r="L147" s="3">
        <v>23036.09</v>
      </c>
      <c r="M147" t="s">
        <v>22</v>
      </c>
    </row>
    <row r="148" spans="1:13" x14ac:dyDescent="0.3">
      <c r="A148" t="s">
        <v>192</v>
      </c>
      <c r="B148" s="2">
        <v>45704</v>
      </c>
      <c r="C148" t="s">
        <v>59</v>
      </c>
      <c r="D148" t="s">
        <v>68</v>
      </c>
      <c r="E148" t="s">
        <v>42</v>
      </c>
      <c r="F148" t="s">
        <v>38</v>
      </c>
      <c r="G148">
        <v>4</v>
      </c>
      <c r="H148" s="3">
        <v>438.54</v>
      </c>
      <c r="I148" s="4">
        <v>0.1</v>
      </c>
      <c r="J148" s="3">
        <v>1578.74</v>
      </c>
      <c r="K148" s="3">
        <v>1140.05</v>
      </c>
      <c r="L148" s="3">
        <v>438.69</v>
      </c>
      <c r="M148" t="s">
        <v>18</v>
      </c>
    </row>
    <row r="149" spans="1:13" x14ac:dyDescent="0.3">
      <c r="A149" t="s">
        <v>193</v>
      </c>
      <c r="B149" s="2">
        <v>45824</v>
      </c>
      <c r="C149" t="s">
        <v>20</v>
      </c>
      <c r="D149" t="s">
        <v>21</v>
      </c>
      <c r="E149" t="s">
        <v>87</v>
      </c>
      <c r="F149" t="s">
        <v>17</v>
      </c>
      <c r="G149">
        <v>2</v>
      </c>
      <c r="H149" s="3">
        <v>13008.87</v>
      </c>
      <c r="I149" s="4">
        <v>0</v>
      </c>
      <c r="J149" s="3">
        <v>26017.74</v>
      </c>
      <c r="K149" s="3">
        <v>14659.33</v>
      </c>
      <c r="L149" s="3">
        <v>11358.41</v>
      </c>
      <c r="M149" t="s">
        <v>22</v>
      </c>
    </row>
    <row r="150" spans="1:13" x14ac:dyDescent="0.3">
      <c r="A150" t="s">
        <v>194</v>
      </c>
      <c r="B150" s="2">
        <v>45797</v>
      </c>
      <c r="C150" t="s">
        <v>59</v>
      </c>
      <c r="D150" t="s">
        <v>60</v>
      </c>
      <c r="E150" t="s">
        <v>37</v>
      </c>
      <c r="F150" t="s">
        <v>38</v>
      </c>
      <c r="G150">
        <v>7</v>
      </c>
      <c r="H150" s="3">
        <v>1479.4</v>
      </c>
      <c r="I150" s="4">
        <v>0.1</v>
      </c>
      <c r="J150" s="3">
        <v>9320.2199999999993</v>
      </c>
      <c r="K150" s="3">
        <v>6298.44</v>
      </c>
      <c r="L150" s="3">
        <v>3021.78</v>
      </c>
      <c r="M150" t="s">
        <v>18</v>
      </c>
    </row>
    <row r="151" spans="1:13" x14ac:dyDescent="0.3">
      <c r="A151" t="s">
        <v>195</v>
      </c>
      <c r="B151" s="2">
        <v>45716</v>
      </c>
      <c r="C151" t="s">
        <v>20</v>
      </c>
      <c r="D151" t="s">
        <v>49</v>
      </c>
      <c r="E151" t="s">
        <v>56</v>
      </c>
      <c r="F151" t="s">
        <v>30</v>
      </c>
      <c r="G151">
        <v>7</v>
      </c>
      <c r="H151" s="3">
        <v>79.83</v>
      </c>
      <c r="I151" s="4">
        <v>0.15</v>
      </c>
      <c r="J151" s="3">
        <v>474.99</v>
      </c>
      <c r="K151" s="3">
        <v>408</v>
      </c>
      <c r="L151" s="3">
        <v>66.989999999999995</v>
      </c>
      <c r="M151" t="s">
        <v>22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5C9F3-CE4F-4832-B4F9-67F1DB2FC1C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476D-EB0A-4485-893E-3C834C41589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Sales_Data</vt:lpstr>
      <vt:lpstr>Sheet7</vt:lpstr>
      <vt:lpstr>Sheet8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 Nageswari Eluru</cp:lastModifiedBy>
  <dcterms:created xsi:type="dcterms:W3CDTF">2026-10-16T04:28:27Z</dcterms:created>
  <dcterms:modified xsi:type="dcterms:W3CDTF">2026-10-16T06:45:10Z</dcterms:modified>
</cp:coreProperties>
</file>